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kostka/Documents/Oxford/"/>
    </mc:Choice>
  </mc:AlternateContent>
  <xr:revisionPtr revIDLastSave="0" documentId="13_ncr:1_{5EEF8228-4A37-8248-B875-6221E5987B6D}" xr6:coauthVersionLast="47" xr6:coauthVersionMax="47" xr10:uidLastSave="{00000000-0000-0000-0000-000000000000}"/>
  <bookViews>
    <workbookView xWindow="1260" yWindow="760" windowWidth="28140" windowHeight="16800" xr2:uid="{14C8F0EF-9B69-BA41-A962-2953CC96EC3D}"/>
  </bookViews>
  <sheets>
    <sheet name="KEEPER LLM Sensitivity All" sheetId="14" r:id="rId1"/>
    <sheet name="All by All" sheetId="16" r:id="rId2"/>
    <sheet name="Clinician" sheetId="15" r:id="rId3"/>
    <sheet name="GPT 5o" sheetId="2" r:id="rId4"/>
    <sheet name="GPT5o-Table" sheetId="9" r:id="rId5"/>
    <sheet name="Copilot 4o" sheetId="3" r:id="rId6"/>
    <sheet name="Copilot 4o-Table" sheetId="10" r:id="rId7"/>
    <sheet name="Copilot 5o" sheetId="7" r:id="rId8"/>
    <sheet name="Copilot 5o-Table" sheetId="11" r:id="rId9"/>
    <sheet name="Gemini" sheetId="6" r:id="rId10"/>
    <sheet name="Gemini-Table" sheetId="12" r:id="rId11"/>
  </sheets>
  <calcPr calcId="191029"/>
  <pivotCaches>
    <pivotCache cacheId="33" r:id="rId12"/>
    <pivotCache cacheId="34" r:id="rId13"/>
    <pivotCache cacheId="35" r:id="rId14"/>
    <pivotCache cacheId="3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6" l="1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B2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J5" i="14"/>
  <c r="H5" i="14"/>
  <c r="F5" i="14"/>
  <c r="D5" i="14"/>
  <c r="J4" i="14"/>
  <c r="H4" i="14"/>
  <c r="F4" i="14"/>
  <c r="D4" i="14"/>
  <c r="J3" i="14"/>
  <c r="H3" i="14"/>
  <c r="F3" i="14"/>
  <c r="D3" i="14"/>
</calcChain>
</file>

<file path=xl/sharedStrings.xml><?xml version="1.0" encoding="utf-8"?>
<sst xmlns="http://schemas.openxmlformats.org/spreadsheetml/2006/main" count="3508" uniqueCount="442">
  <si>
    <t>Adjudication (Choose One from Drop Down)</t>
  </si>
  <si>
    <t>personId</t>
  </si>
  <si>
    <t>age</t>
  </si>
  <si>
    <t>gender</t>
  </si>
  <si>
    <t>observationPeriod</t>
  </si>
  <si>
    <t>visitContext</t>
  </si>
  <si>
    <t>presentation (day 0)</t>
  </si>
  <si>
    <t>comorbidities (day 0)</t>
  </si>
  <si>
    <t>symptoms (day 0)</t>
  </si>
  <si>
    <t>priorDisease (before day 0)</t>
  </si>
  <si>
    <t>priorDrugs  (before day 0)</t>
  </si>
  <si>
    <t>priorTreatmentProcedures  (before day 0)</t>
  </si>
  <si>
    <t>diagnosticProcedures  (before and after day 0)</t>
  </si>
  <si>
    <t>measurements  (before and after day 0)</t>
  </si>
  <si>
    <t>alternativeDiagnosis (after day 0)</t>
  </si>
  <si>
    <t>afterDisease (after day 0)</t>
  </si>
  <si>
    <t>afterTreatmentProcedures (after day 0)</t>
  </si>
  <si>
    <t>afterDrugs (after day 0)</t>
  </si>
  <si>
    <t>death</t>
  </si>
  <si>
    <t>ClinicalLabel</t>
  </si>
  <si>
    <t>Female</t>
  </si>
  <si>
    <t>-2979 days - 4196 days</t>
  </si>
  <si>
    <t>Office Visit-&gt;Office Visit</t>
  </si>
  <si>
    <t>10g monofilament sensation L foot normal (EHR); 10g monofilament sensation R foot normal (EHR); All pulses present in left foot (EHR); All pulses present in left lower limb (EHR); All pulses present in right foot (EHR); All pulses present in right lower l</t>
  </si>
  <si>
    <t>Proliferative retinopathy due to diabetes mellitus (day -458); Severe nonproliferative retinopathy due to diabetes mellitus (day -2234)</t>
  </si>
  <si>
    <t xml:space="preserve">insulin isophane (day -2864, for 55 days); insulin, regular, human (day -2864, for 55 days); insulin, regular, human (day -2775, for 149 days); insulin isophane (day -2775, for 149 days); insulin, regular, human (day -2568, for 55 days); insulin isophane </t>
  </si>
  <si>
    <t>HbA1c measurement (DCCT aligned) (82 millimole per mole, day 0);</t>
  </si>
  <si>
    <t>Nonproliferative retinopathy of left eye due to diabetes mellitus (day 818, 1161); Nonproliferative retinopathy of right eye due to diabetes mellitus (day 182, 818); Preproliferative retinopathy of left eye due to diabetes mellitus (day 1651); Proliferati</t>
  </si>
  <si>
    <t xml:space="preserve">insulin isophane (day 61, for 27 days); insulin, regular, human (day 61, for 55 days); insulin isophane (day 151, for 27 days); insulin, regular, human (day 151, for 55 days); insulin isophane (day 221, for 69 days); insulin, regular, human (day 263, for </t>
  </si>
  <si>
    <t>Probable</t>
  </si>
  <si>
    <t>Male</t>
  </si>
  <si>
    <t>-85 days - 166 days</t>
  </si>
  <si>
    <t>Acquired deviated nasal septum (EHR); All pulses present in left lower limb (EHR); All pulses present in right lower limb (EHR); Blood pressure finding (EHR); Finding of foot region (EHR); Normal tactile sensation (EHR); Temporomandibular joint disorder (</t>
  </si>
  <si>
    <t>Family history of diabetes mellitus (day -85)</t>
  </si>
  <si>
    <t>Type 1 diabetes mellitus (day -69)</t>
  </si>
  <si>
    <t>Glucose measurement, blood (6.4 millimole per liter, abnormal - high, day -17); HbA1c measurement (DCCT aligned) (58 millimole per mole, day -17);</t>
  </si>
  <si>
    <t>insulin aspart, human (day 89, for 11 days); insulin glargine (day 89, for 27 days);</t>
  </si>
  <si>
    <t>-2281 days - 4538 days</t>
  </si>
  <si>
    <t>Acute upper respiratory infection (EHR); Acute upper respiratory infection (EHR); Type 1 diabetes mellitus (EHR); Type 1 diabetes mellitus (EHR);</t>
  </si>
  <si>
    <t>Type 1 diabetes mellitus (day -38)</t>
  </si>
  <si>
    <t>insulin, regular, human (day -32, for 408 days); insulin lispro (day -32, for 27 days); insulin isophane (day -32, for 408 days);</t>
  </si>
  <si>
    <t>Ketoacidotic coma due to type 1 diabetes mellitus (day 1871); Type 1 diabetes mellitus (day 66)</t>
  </si>
  <si>
    <t>insulin lispro (day 125, for 27 days); insulin, regular, human (day 413, for 107 days); insulin isophane (day 413, for 107 days); insulin lispro (day 447, for 27 days); insulin isophane (day 583, for 27 days); insulin, regular, human (day 583, for 27 days</t>
  </si>
  <si>
    <t>-2 days - 854 days</t>
  </si>
  <si>
    <t>Office Visit</t>
  </si>
  <si>
    <t>Alcohol dependence (EHR); Alcoholic cirrhosis (EHR); Asthma (EHR); Epilepsy (EHR); Glaucoma (EHR); Retinal detachment (EHR); Traumatic or nontraumatic brain injury (EHR); Type 1 diabetes mellitus (EHR);</t>
  </si>
  <si>
    <t>HbA1c measurement (DCCT aligned) (84 millimole per mole, abnormal - high, day 14);</t>
  </si>
  <si>
    <t>insulin isophane (day 0, for 627 days); insulin, regular, human (day 0, for 627 days); insulin, regular, human (day 742, for 0 days); insulin isophane (day 742, for 0 days); insulin detemir (day 742, for 0 days); insulin, regular, human (day 783, for 0 da</t>
  </si>
  <si>
    <t>-4686 days - 3219 days</t>
  </si>
  <si>
    <t>All pulses present in left lower limb (EHR); All pulses present in right lower limb (EHR); Blood pressure finding (EHR); Type 1 diabetes mellitus (EHR);</t>
  </si>
  <si>
    <t>Diabetes mellitus (day -4670, -4635, -4228, -4130, -3731, -2970, -1745, -576, -499, -430, -317)</t>
  </si>
  <si>
    <t>Type 1 diabetes mellitus (day -476)</t>
  </si>
  <si>
    <t>insulin isophane (day -4565, for 3234 days); insulin, regular, human (day -4565, for 77 days); insulin, regular, human (day -4419, for 393 days); insulin, regular, human (day -3965, for 29 days); insulin, regular, human (day -3878, for 2350 days); metform</t>
  </si>
  <si>
    <t>HbA1c measurement (DCCT aligned) (7.7 percent, day 0);</t>
  </si>
  <si>
    <t>insulin aspart, human (day 53, for 30 days); insulin aspart, human (day 115, for 0 days); insulin aspart, human (day 151, for 0 days); insulin aspart, human (day 196, for 0 days); insulin aspart, human (day 245, for 0 days); insulin aspart, human (day 276</t>
  </si>
  <si>
    <t>-274 days - 8161 days</t>
  </si>
  <si>
    <t>All pulses present in left lower limb (EHR); All pulses present in right lower limb (EHR); Type 1 diabetes mellitus (EHR);</t>
  </si>
  <si>
    <t>Essential hypertension (day -69)</t>
  </si>
  <si>
    <t>Type 1 diabetes mellitus (day -48)</t>
  </si>
  <si>
    <t>insulin, regular, human (day -207, for 291 days); insulin isophane (day -207, for 291 days);</t>
  </si>
  <si>
    <t>HbA1c measurement (DCCT aligned) (0 , day -28); HbA1c measurement (DCCT aligned) (7.8 , day -28);</t>
  </si>
  <si>
    <t>Disorder of left macula due to diabetes mellitus (day 3108, 7617, 7703); Disorder of right macula due to diabetes mellitus (day 7617, 7703); Nonproliferative retinopathy due to diabetes mellitus (day 371); Nonproliferative retinopathy of left eye due to d</t>
  </si>
  <si>
    <t>insulin, regular, human (day 115, for 146 days); insulin isophane (day 115, for 146 days); insulin isophane (day 296, for 53 days); insulin, regular, human (day 296, for 53 days); insulin, regular, human (day 382, for 368 days); insulin isophane (day 382,</t>
  </si>
  <si>
    <t>No Case</t>
  </si>
  <si>
    <t>-2646 days - 911 days</t>
  </si>
  <si>
    <t>Type 1 diabetes mellitus (day -677, -630)</t>
  </si>
  <si>
    <t>insulin aspart, human (day -676, for 1586 days); insulin isophane (day -676, for 44 days); insulin, regular, human (day -676, for 44 days); insulin aspart protamine, human (day -645, for 1150 days); insulin detemir (day -104, for 23 days); insulin detemir</t>
  </si>
  <si>
    <t>insulin detemir (day 55, for 30 days); insulin detemir (day 140, for 0 days); insulin detemir (day 232, for 0 days); insulin detemir (day 315, for 30 days); insulin glargine (day 414, for 28 days); metformin (day 414, for 29 days); metformin (day 478, for</t>
  </si>
  <si>
    <t>-2093 days - 237 days</t>
  </si>
  <si>
    <t>Candidiasis (day -160)</t>
  </si>
  <si>
    <t>Type 1 diabetes mellitus (day -435)</t>
  </si>
  <si>
    <t>insulin glargine (day -435, for 13 days); insulin aspart, human (day -435, for 13 days); insulin glargine (day -380, for 23 days); insulin aspart, human (day -380, for 86 days); insulin glargine (day -294, for 0 days); insulin aspart, human (day -247, for</t>
  </si>
  <si>
    <t>HbA1c measurement (DCCT aligned) (86 millimole per mole, day -7);</t>
  </si>
  <si>
    <t>insulin aspart, human (day 34, for 0 days); insulin degludec (day 34, for 0 days); insulin aspart, human (day 78, for 0 days); insulin aspart, human (day 126, for 0 days); insulin degludec (day 126, for 0 days); insulin degludec (day 202, for 0 days); ins</t>
  </si>
  <si>
    <t>-14 days - 5874 days</t>
  </si>
  <si>
    <t>Allergic reaction to drug (EHR); Type 1 diabetes mellitus (EHR);</t>
  </si>
  <si>
    <t>Disorder of nervous system due to diabetes mellitus (day 3240, 5340)</t>
  </si>
  <si>
    <t xml:space="preserve">insulin, regular, human (day 50, for 29 days); insulin isophane (day 50, for 29 days); insulin, regular, human (day 178, for 29 days); insulin isophane (day 178, for 29 days); insulin, regular, human (day 246, for 29 days); insulin isophane (day 246, for </t>
  </si>
  <si>
    <t>-12 days - 83 days</t>
  </si>
  <si>
    <t>Asthma (EHR); Obesity (EHR); Type 1 diabetes mellitus (EHR);</t>
  </si>
  <si>
    <t>Obesity (day 0)</t>
  </si>
  <si>
    <t>insulin aspart, human (day 0, for 55 days); insulin glargine (day 0, for 0 days); insulin glargine (day 70, for 0 days);</t>
  </si>
  <si>
    <t>-7106 days - 903 days</t>
  </si>
  <si>
    <t>Asymptomatic periapical periodontitis (EHR); Dental caries (EHR); Type 1 diabetes mellitus (EHR);</t>
  </si>
  <si>
    <t>Cyst of pancreas (day -5967, -4488, -3139)</t>
  </si>
  <si>
    <t>insulin glargine (day 8, for 178 days); insulin aspart, human (day 8, for 178 days); insulin aspart, human (day 218, for 243 days); insulin glargine (day 218, for 243 days); insulin aspart, human (day 543, for 28 days); insulin glargine (day 543, for 28 d</t>
  </si>
  <si>
    <t>-3834 days - 107 days</t>
  </si>
  <si>
    <t>Atopic conjunctivitis (EHR); Type 1 diabetes mellitus (EHR);</t>
  </si>
  <si>
    <t>Diabetes mellitus (day -2101, -1801, -576); Diabetic - good control (day -2085, -1779, -1289, -1107, -771)</t>
  </si>
  <si>
    <t>Retinopathy due to diabetes mellitus (day -341); Type 1 diabetes mellitus (day -2008, -1304)</t>
  </si>
  <si>
    <t>insulin, regular, human (day -2095, for 35 days); insulin isophane (day -2095, for 35 days); insulin, regular, human (day -2024, for 29 days); insulin isophane (day -2024, for 29 days); insulin, regular, human (day -1954, for 29 days); insulin isophane (d</t>
  </si>
  <si>
    <t>-2078 days - 851 days</t>
  </si>
  <si>
    <t>Blood pressure finding (EHR); Type 1 diabetes mellitus (EHR);</t>
  </si>
  <si>
    <t>Diabetes mellitus (day -1829, -1186, -286)</t>
  </si>
  <si>
    <t>Type 1 diabetes mellitus (day -972)</t>
  </si>
  <si>
    <t>insulin, regular, human (day -2052, for 98 days); insulin isophane (day -1996, for 42 days); insulin isophane (day -1878, for 632 days); insulin, regular, human (day -1878, for 156 days); insulin lispro (day -1707, for 353 days); insulin lispro (day -1323</t>
  </si>
  <si>
    <t>Type 1 diabetes mellitus (day 624, 704)</t>
  </si>
  <si>
    <t>insulin lispro (day 25, for 27 days); insulin lispro (day 104, for 67 days); insulin glargine (day 180, for 57 days); insulin lispro (day 210, for 27 days); insulin glargine (day 277, for 154 days); insulin lispro (day 343, for 27 days); insulin lispro (d</t>
  </si>
  <si>
    <t>-1716 days - 479 days</t>
  </si>
  <si>
    <t>Blood pressure finding (EHR); Finding of vibration sense (EHR); Pulse present in left dorsalis pedis artery (EHR); Pulse present in left posterior tibial artery (EHR); Pulse present in right dorsalis pedis artery (EHR); Pulse present in right posterior ti</t>
  </si>
  <si>
    <t>Diabetes mellitus (day -778, -455, -372); Essential hypertension (day -1008); Insulin treated type 2 diabetes mellitus (day -778); Type 2 diabetes mellitus (day -372)</t>
  </si>
  <si>
    <t>Type 1 diabetes mellitus (day -778)</t>
  </si>
  <si>
    <t>insulin isophane (day -35, for 312 days);</t>
  </si>
  <si>
    <t>Glucose measurement, blood (14.8 , day -9); HbA1c measurement (DCCT aligned) (5.8 , day -9); Glucose measurement, blood (14.8 , day 0); HbA1c measurement (DCCT aligned) (5.8 , day 0); Urine screening for glucose (day 0);</t>
  </si>
  <si>
    <t>Type 1 diabetes mellitus (day 228)</t>
  </si>
  <si>
    <t>insulin isophane (day 322, for 144 days);</t>
  </si>
  <si>
    <t>-357 days - 765 days</t>
  </si>
  <si>
    <t>Diabetes mellitus (day -91)</t>
  </si>
  <si>
    <t>Type 1 diabetes mellitus (day -91)</t>
  </si>
  <si>
    <t>insulin, regular, human (day -91, for 163 days); insulin isophane (day -91, for 163 days);</t>
  </si>
  <si>
    <t>insulin isophane (day 164, for 44 days); insulin, regular, human (day 164, for 44 days); insulin isophane (day 282, for 27 days); insulin, regular, human (day 282, for 27 days); insulin isophane (day 357, for 27 days); insulin, regular, human (day 357, fo</t>
  </si>
  <si>
    <t>-5268 days - 480 days</t>
  </si>
  <si>
    <t>Diabetes mellitus (day -4682, -4472, -4000, -3916, -2986); Family history of diabetes mellitus (day -3923); Type 2 diabetes mellitus (day -5140, -4197, -4063, -3309, -2993)</t>
  </si>
  <si>
    <t>Autonomic neuropathy due to diabetes mellitus (day -3779); Disorder of nervous system due to diabetes mellitus (day -3552, -3281, -3090); Neuropathy due to diabetes mellitus (day -4609); Type 1 diabetes mellitus (day -2979, -88)</t>
  </si>
  <si>
    <t>metformin (day -5250, for 1522 days); insulin isophane (day -5241, for 2196 days); acarbose (day -5236, for 1728 days); pioglitazone (day -4000, for 27 days); pioglitazone (day -3916, for 184 days); insulin glargine (day -3902, for 37 days); metformin (da</t>
  </si>
  <si>
    <t>HbA1c measurement (DCCT aligned) (34 millimole per mole, normal, day -7);</t>
  </si>
  <si>
    <t>insulin isophane (day 323, for 27 days); insulin isophane (day 385, for 112 days);</t>
  </si>
  <si>
    <t>-5496 days - 1202 days</t>
  </si>
  <si>
    <t>Blood pressure finding (EHR); Diabetes mellitus (EHR); Type 1 diabetes mellitus (EHR);</t>
  </si>
  <si>
    <t>Acute pancreatitis (day -38); Essential hypertension (day -1177, -830, -674)</t>
  </si>
  <si>
    <t>Acute pancreatitis (day -38); Diabetes mellitus (day 0)</t>
  </si>
  <si>
    <t>insulin aspart, human (day 33, for 60 days); insulin aspart protamine, human (day 33, for 60 days); insulin glargine (day 125, for 98 days); insulin glargine (day 279, for 27 days); insulin glargine (day 369, for 67 days); insulin glargine (day 510, for 2</t>
  </si>
  <si>
    <t>-1186 days - 4197 days</t>
  </si>
  <si>
    <t>Diabetes mellitus (day -350)</t>
  </si>
  <si>
    <t>insulin, regular, human (day -1108, for 27 days); insulin, regular, human (day -1043, for 27 days); insulin, regular, human (day -892, for 85 days); insulin, regular, human (day -599, for 27 days); insulin, regular, human (day -487, for 27 days); insulin,</t>
  </si>
  <si>
    <t>HbA1c measurement (DCCT aligned) (8.4 , day 0);</t>
  </si>
  <si>
    <t>Diabetic hand syndrome (day 882, 958); Nonproliferative retinopathy due to diabetes mellitus (day 376); Retinopathy due to diabetes mellitus (day 3657, 4043); Type 1 diabetes mellitus (day 950, 1137)</t>
  </si>
  <si>
    <t>insulin, regular, human (day 21, for 27 days); insulin, regular, human (day 112, for 27 days); insulin, regular, human (day 207, for 27 days); insulin, regular, human (day 341, for 27 days); insulin, regular, human (day 416, for 27 days); insulin, regular</t>
  </si>
  <si>
    <t>-4926 days - 262 days</t>
  </si>
  <si>
    <t>Diabetes mellitus (day -2589, -469); Essential hypertension (day -155); Type 2 diabetes mellitus (day -2589)</t>
  </si>
  <si>
    <t>Nonproliferative retinopathy due to diabetes mellitus (day -173)</t>
  </si>
  <si>
    <t>glyburide (day -1513, for 111 days);</t>
  </si>
  <si>
    <t>insulin isophane (day 0, for 27 days); insulin, regular, human (day 0, for 27 days); insulin isophane (day 80, for 27 days); insulin, regular, human (day 80, for 27 days); insulin isophane (day 142, for 27 days); insulin, regular, human (day 142, for 27 d</t>
  </si>
  <si>
    <t>-85 days - 4750 days</t>
  </si>
  <si>
    <t>Serum fasting glucose measurement (15 millimole per liter, day 12);</t>
  </si>
  <si>
    <t xml:space="preserve">insulin isophane (day 0, for 76 days); insulin, regular, human (day 0, for 76 days); insulin, regular, human (day 113, for 133 days); insulin isophane (day 113, for 133 days); insulin, regular, human (day 289, for 27 days); insulin isophane (day 289, for </t>
  </si>
  <si>
    <t>-2831 days - 1990 days</t>
  </si>
  <si>
    <t>Blood pressure finding (EHR); Blood pressure finding (EHR); Blood pressure finding (EHR); Blood pressure finding (EHR); Blood pressure finding (EHR); Blood pressure finding (EHR); Blood pressure finding (EHR); Type 1 diabetes mellitus (EHR); Type 1 diabet</t>
  </si>
  <si>
    <t>Candidiasis (day -2698, -2159); Candidiasis of vagina (day -2699); Diabetes mellitus (day -1851, -1669, -1368, -1168)</t>
  </si>
  <si>
    <t>Retinopathy due to diabetes mellitus (day -2272, -1424, -866, -140); Type 1 diabetes mellitus (day -853, -140, -28)</t>
  </si>
  <si>
    <t>insulin isophane (day -2791, for 230 days); insulin, regular, human (day -2791, for 230 days); insulin isophane (day -2527, for 142 days); insulin, regular, human (day -2527, for 142 days); insulin, regular, human (day -2337, for 54 days); insulin isophan</t>
  </si>
  <si>
    <t>HbA1c measurement (DCCT aligned) (8.3 percent, day 14); Glucose measurement, blood (9.2 millimole per liter, day 14); HbA1c measurement (DCCT aligned) (8.8 percent, day 28);</t>
  </si>
  <si>
    <t>Retinopathy due to diabetes mellitus (day 794, 849, 1682, 1745); Type 1 diabetes mellitus (day 80, 303, 337, 458, 591, 819, 917, 962, 997, 1193, 1234)</t>
  </si>
  <si>
    <t>insulin aspart, human (day 17, for 27 days); insulin glargine (day 211, for 27 days); insulin aspart, human (day 211, for 27 days); insulin aspart, human (day 309, for 27 days); insulin glargine (day 309, for 27 days); insulin glargine (day 367, for 425 d</t>
  </si>
  <si>
    <t>-4416 days - 710 days</t>
  </si>
  <si>
    <t>Blood pressure finding (EHR); Blood pressure finding (EHR); Blood pressure finding (EHR); Blood pressure finding (EHR); Type 1 diabetes mellitus (EHR); Type 1 diabetes mellitus (EHR); Type 1 diabetes mellitus (EHR); Type 1 diabetes mellitus (EHR);</t>
  </si>
  <si>
    <t>Candidiasis (day -3653, -3374, -2751, -2520, -2473, -1795, -1539, -1274, -1177, -335); Candidiasis of vagina (day -3047, -2179, -2123, -1896); Diabetes mellitus (day -4042, -3471, -3110, -2960, -2737, -2544, -2330, -2270, -2226, -2192, -2044, -1974, -1647</t>
  </si>
  <si>
    <t>Hypoglycemic coma due to type 1 diabetes mellitus (day -2197, -2158); Ketoacidosis due to type 1 diabetes mellitus (day -3038); Loss of hypoglycemic warning due to diabetes mellitus (day -836, -581); Proliferative retinopathy due to diabetes mellitus (day</t>
  </si>
  <si>
    <t>insulin lispro (day -4396, for 29 days); insulin lispro (day -4336, for 29 days); insulin isophane (day -4336, for 29 days); insulin lispro (day -4251, for 29 days); insulin isophane (day -4251, for 29 days); insulin lispro (day -4129, for 29 days); insul</t>
  </si>
  <si>
    <t>Serum fasting glucose measurement (3.4 millimole per liter, normal, day 0); HbA1c measurement (DCCT aligned) (83 millimole per mole, abnormal - high, day 0);</t>
  </si>
  <si>
    <t>Proliferative retinopathy due to diabetes mellitus (day 639); Type 1 diabetes mellitus (day 40)</t>
  </si>
  <si>
    <t>insulin lispro (day 77, for 0 days); insulin detemir (day 77, for 74 days); insulin lispro (day 124, for 0 days); insulin detemir (day 182, for 179 days); insulin lispro (day 182, for 0 days); insulin lispro (day 238, for 0 days); insulin lispro (day 295,</t>
  </si>
  <si>
    <t>-2640 days - 6782 days</t>
  </si>
  <si>
    <t>Diabetes mellitus (day -980)</t>
  </si>
  <si>
    <t>Type 1 diabetes mellitus (day -1184, -939)</t>
  </si>
  <si>
    <t xml:space="preserve">insulin aspart protamine, human (day -966, for 152 days); insulin aspart, human (day -966, for 152 days); insulin aspart, human (day -771, for 0 days); insulin aspart protamine, human (day -771, for 0 days); insulin aspart protamine, human (day -715, for </t>
  </si>
  <si>
    <t>Self-monitoring of blood glucose (day 0); Glucose measurement, blood (11.5 , day 0);</t>
  </si>
  <si>
    <t>Disorder of left macula due to diabetes mellitus (day 5412); Disorder of macula due to diabetes mellitus (day 5340, 5412); Nonproliferative retinopathy due to diabetes mellitus (day 3952, 4402, 5340, 5412, 5643); Nonproliferative retinopathy of left eye d</t>
  </si>
  <si>
    <t>insulin aspart protamine, human (day 5, for 0 days); insulin aspart, human (day 5, for 0 days); insulin aspart protamine, human (day 46, for 0 days); insulin aspart, human (day 46, for 0 days); insulin aspart protamine, human (day 110, for 0 days); insuli</t>
  </si>
  <si>
    <t xml:space="preserve"> days -  days</t>
  </si>
  <si>
    <t>Blood pressure finding (EHR); Blood pressure finding (EHR); Type 1 diabetes mellitus (EHR); Type 1 diabetes mellitus (EHR);</t>
  </si>
  <si>
    <t>insulin detemir (day 10, for 1158 days); insulin aspart, human (day 10, for 2252 days); insulin degludec (day 1164, for 72 days); insulin degludec (day 1270, for 0 days); insulin degludec (day 1316, for 319 days); insulin degludec (day 1667, for 164 days)</t>
  </si>
  <si>
    <t>-300 days - 1502 days</t>
  </si>
  <si>
    <t>insulin isophane (day -289, for 142 days); insulin, regular, human (day -287, for 0 days); insulin, regular, human (day -217, for 172 days); insulin isophane (day -72, for 29 days); insulin, regular, human (day -12, for 191 days); insulin isophane (day -1</t>
  </si>
  <si>
    <t>Glucose measurement, blood (12.7 millimole per liter, day -12);</t>
  </si>
  <si>
    <t>Persistent microalbuminuria due to type 1 diabetes mellitus (day 1080); Type 1 diabetes mellitus (day 48, 517, 595)</t>
  </si>
  <si>
    <t>insulin isophane (day 96, for 29 days); insulin, regular, human (day 211, for 82 days); insulin isophane (day 211, for 29 days); insulin, regular, human (day 327, for 792 days); insulin isophane (day 327, for 29 days); insulin isophane (day 418, for 101 d</t>
  </si>
  <si>
    <t>-3204 days - 4530 days</t>
  </si>
  <si>
    <t>Essential hypertension (day -3113); Hyperlipidemia (day -2840, -2667, -2030, -1952, -1862, -1077, -894, -230); Insulin treated type 2 diabetes mellitus (day -3204); Obesity (day -2484); Type 2 diabetes mellitus (day -3204, -2675, -2303, -2041, -824, -467)</t>
  </si>
  <si>
    <t>Nonproliferative retinopathy due to diabetes mellitus (day -3070); Retinopathy due to diabetes mellitus (day -2484)</t>
  </si>
  <si>
    <t>metformin (day -3178, for 56 days); insulin, regular, human (day -3143, for 206 days); insulin isophane (day -3143, for 206 days); metformin (day -3086, for 104 days); metformin (day -2945, for 89 days); insulin aspart, human (day -2939, for 4424 days); i</t>
  </si>
  <si>
    <t>Type 1 diabetes mellitus (day 1198)</t>
  </si>
  <si>
    <t>metformin (day 115, for 54 days); metformin (day 205, for 138 days); metformin (day 391, for 371 days); metformin (day 822, for 116 days); metformin (day 981, for 57 days); metformin (day 1127, for 27 days); metformin (day 1198, for 27 days); metformin (d</t>
  </si>
  <si>
    <t>Retinopathy due to diabetes mellitus (day 188); Type 1 diabetes mellitus (day 539)</t>
  </si>
  <si>
    <t>insulin aspart, human (day 82, for 0 days); insulin detemir (day 82, for 84 days); insulin aspart, human (day 367, for 44 days); insulin aspart, human (day 454, for 27 days); insulin detemir (day 454, for 27 days); insulin detemir (day 553, for 122 days);</t>
  </si>
  <si>
    <t>-2017 days - 3651 days</t>
  </si>
  <si>
    <t>Blood pressure finding (EHR); Finding of foot region (EHR); Type 1 diabetes mellitus (EHR);</t>
  </si>
  <si>
    <t>Calculus of pancreas (day -1068); Diabetes mellitus (day -581); Type 2 diabetes mellitus (day -1919, -581)</t>
  </si>
  <si>
    <t>Type 1 diabetes mellitus (day -581)</t>
  </si>
  <si>
    <t>glipizide (day -1596, for 124 days); glipizide (day -1410, for 27 days); glipizide (day -1305, for 96 days); glipizide (day -1165, for 55 days); glipizide (day -1065, for 55 days); insulin isophane (day -1023, for 27 days); insulin, regular, human (day -9</t>
  </si>
  <si>
    <t>HbA1c measurement (DCCT aligned) (7.3 percent, day 0);</t>
  </si>
  <si>
    <t>Nonproliferative retinopathy due to diabetes mellitus (day 2692); Preproliferative retinopathy due to diabetes mellitus (day 3024); Retinopathy due to type 2 diabetes mellitus (day 2446)</t>
  </si>
  <si>
    <t>insulin isophane (day 39, for 27 days); insulin lispro (day 39, for 27 days); insulin isophane (day 472, for 132 days); insulin lispro (day 528, for 76 days); insulin lispro (day 781, for 27 days); insulin isophane (day 781, for 27 days); insulin glargine</t>
  </si>
  <si>
    <t>-1428 days - 6734 days</t>
  </si>
  <si>
    <t>Diabetes mellitus (EHR); Diabetes mellitus (EHR); Type 1 diabetes mellitus (EHR); Type 1 diabetes mellitus (EHR);</t>
  </si>
  <si>
    <t>Diabetes mellitus (day -1047)</t>
  </si>
  <si>
    <t>insulin, protamine zinc, beef (day -1422, for 27 days); insulin, protamine zinc, beef (day -1348, for 27 days); insulin, protamine zinc, beef (day -1264, for 27 days); insulin, protamine zinc, beef (day -1198, for 27 days); insulin, protamine zinc, beef (</t>
  </si>
  <si>
    <t>Diabetes mellitus (day 0); Retinopathy due to diabetes mellitus (day 76)</t>
  </si>
  <si>
    <t>Proliferative retinopathy due to diabetes mellitus (day 3989, 4187, 4898); Retinopathy due to diabetes mellitus (day 76); Type 1 diabetes mellitus (day 3836, 3995, 4195, 4797, 5033, 5098, 5546)</t>
  </si>
  <si>
    <t>insulin, regular, human (day 315, for 460 days); insulin, regular, human (day 838, for 630 days); insulin, regular, human (day 1504, for 27 days); insulin isophane (day 1567, for 1167 days); insulin, regular, human (day 1567, for 1141 days); insulin, regu</t>
  </si>
  <si>
    <t>-2491 days - 4727 days</t>
  </si>
  <si>
    <t>Diabetes mellitus (EHR); Type 1 diabetes mellitus (EHR);</t>
  </si>
  <si>
    <t>Diabetes mellitus (day 0); Type 2 diabetes mellitus (day 1)</t>
  </si>
  <si>
    <t>Diabetic ketoacidosis (day 2350, 2965, 3454, 3982); Retinopathy due to diabetes mellitus (day 3925); Type 1 diabetes mellitus (day 1627, 3035)</t>
  </si>
  <si>
    <t>metformin (day 3, for 29 days); metformin (day 72, for 29 days); metformin (day 302, for 29 days); metformin (day 423, for 29 days); insulin, regular, human (day 436, for 27 days); insulin isophane (day 436, for 27 days); insulin isophane (day 519, for 27</t>
  </si>
  <si>
    <t>-350 days - 4511 days</t>
  </si>
  <si>
    <t>Diabetes mellitus (day 0)</t>
  </si>
  <si>
    <t>Neuropathy due to diabetes mellitus (day 2914)</t>
  </si>
  <si>
    <t>insulin, regular, human (day 989, for 27 days); insulin isophane (day 989, for 27 days); insulin isophane (day 1150, for 27 days); insulin, regular, human (day 1150, for 27 days); insulin isophane (day 1239, for 27 days); insulin, regular, human (day 1239</t>
  </si>
  <si>
    <t>-1374 days - 6593 days</t>
  </si>
  <si>
    <t>Urine screening for glucose (day 0);</t>
  </si>
  <si>
    <t>Type 1 diabetes mellitus (day 4064)</t>
  </si>
  <si>
    <t>insulin, regular, human (day 4, for 541 days); insulin isophane (day 4, for 541 days); insulin isophane (day 710, for 27 days); insulin, regular, human (day 710, for 27 days); insulin isophane (day 770, for 118 days); insulin, regular, human (day 770, for</t>
  </si>
  <si>
    <t>-157 days - 4631 days</t>
  </si>
  <si>
    <t>Hyperlipidemia (EHR); Neuropathic arthropathy due to diabetes mellitus (EHR); Neuropathy due to diabetes mellitus (EHR); Retinopathy due to diabetes mellitus (EHR); Type 1 diabetes mellitus (EHR);</t>
  </si>
  <si>
    <t>insulin isophane (day -153, for 398 days); insulin lispro (day -153, for 230 days);</t>
  </si>
  <si>
    <t>Hyperlipidemia (day 0); Neuropathic arthropathy due to diabetes mellitus (day 0); Neuropathy due to diabetes mellitus (day 0); Retinopathy due to diabetes mellitus (day 0)</t>
  </si>
  <si>
    <t>Mixed diabetic ulcer - foot (day 3620); Neuropathic arthropathy due to diabetes mellitus (day 320); Retinopathy due to diabetes mellitus (day 327); Type 1 diabetes mellitus (day 722)</t>
  </si>
  <si>
    <t xml:space="preserve">metformin (day 112, for 3000 days); insulin lispro (day 126, for 119 days); insulin lispro (day 293, for 186 days); insulin isophane (day 340, for 139 days); insulin lispro (day 529, for 121 days); insulin glargine (day 529, for 121 days); insulin lispro </t>
  </si>
  <si>
    <t>-3534 days - 923 days</t>
  </si>
  <si>
    <t>Pain of knee region (EHR); Type 1 diabetes mellitus (EHR);</t>
  </si>
  <si>
    <t>Type 1 diabetes mellitus (day -1266)</t>
  </si>
  <si>
    <t xml:space="preserve">insulin, regular, human (day -1266, for 69 days); insulin isophane (day -1266, for 69 days); insulin isophane (day -883, for 27 days); insulin, regular, human (day -883, for 27 days); insulin isophane (day -758, for 27 days); insulin, regular, human (day </t>
  </si>
  <si>
    <t>insulin, regular, human (day 103, for 27 days); insulin isophane (day 103, for 27 days); insulin, regular, human (day 187, for 27 days); insulin isophane (day 187, for 27 days); insulin isophane (day 264, for 57 days); insulin, regular, human (day 264, fo</t>
  </si>
  <si>
    <t>-1662 days - 3112 days</t>
  </si>
  <si>
    <t>Type 1 diabetes mellitus (EHR); Type 1 diabetes mellitus (EHR);</t>
  </si>
  <si>
    <t xml:space="preserve">insulin isophane (day -1654, for 27 days); insulin, regular, human (day -1654, for 27 days); insulin, regular, human (day -1581, for 161 days); insulin isophane (day -1581, for 163 days); insulin isophane (day -1366, for 84 days); insulin, regular, human </t>
  </si>
  <si>
    <t>Disorder of eye due to type 1 diabetes mellitus (day 1141); Type 1 diabetes mellitus (day 105)</t>
  </si>
  <si>
    <t>insulin isophane (day 78, for 88 days); insulin, regular, human (day 78, for 88 days); insulin, regular, human (day 212, for 27 days); insulin isophane (day 212, for 27 days); insulin, regular, human (day 279, for 257 days); insulin isophane (day 279, for</t>
  </si>
  <si>
    <t>-3237 days - 2951 days</t>
  </si>
  <si>
    <t>Type 1 diabetes mellitus (EHR);</t>
  </si>
  <si>
    <t>Essential hypertension (day -2509)</t>
  </si>
  <si>
    <t>HbA1c measurement (DCCT aligned) (11 percent, day 0); HbA1c measurement (DCCT aligned) (97 millimole per mole, day 0);</t>
  </si>
  <si>
    <t>Type 1 diabetes mellitus (day 392, 803)</t>
  </si>
  <si>
    <t>insulin glargine (day 66, for 27 days); insulin aspart, human (day 66, for 27 days); insulin aspart, human (day 158, for 0 days); insulin glargine (day 180, for 0 days); insulin aspart, human (day 223, for 0 days); insulin aspart, human (day 279, for 0 da</t>
  </si>
  <si>
    <t>-871 days - 493 days</t>
  </si>
  <si>
    <t>Diabetes mellitus (day -222)</t>
  </si>
  <si>
    <t>Skin ulcer due to diabetes mellitus (day -222)</t>
  </si>
  <si>
    <t>metformin (day -639, for 439 days); insulin, regular, human (day -220, for 182 days);</t>
  </si>
  <si>
    <t>HbA1c measurement (DCCT aligned) (0 , day 27);</t>
  </si>
  <si>
    <t>metformin (day 2, for 68 days); insulin, regular, human (day 8, for 126 days); metformin (day 111, for 27 days); insulin, regular, human (day 219, for 274 days); insulin isophane (day 250, for 27 days); insulin isophane (day 393, for 27 days);</t>
  </si>
  <si>
    <t>-5336 days - 3561 days</t>
  </si>
  <si>
    <t>Diabetes mellitus (day -3540); Family history of diabetes mellitus (day -3214, -1877)</t>
  </si>
  <si>
    <t>Disorder of right macula due to diabetes mellitus (day -484); Nonproliferative retinopathy due to diabetes mellitus (day -2041); Nonproliferative retinopathy of left eye due to diabetes mellitus (day -484); Nonproliferative retinopathy of right eye due to</t>
  </si>
  <si>
    <t>insulin, regular, human (day -5335, for 122 days); insulin isophane (day -5333, for 95 days); insulin lispro (day -5214, for 1975 days); insulin isophane (day -5185, for 1666 days); insulin glargine (day -3540, for 299 days); insulin lispro (day -3106, fo</t>
  </si>
  <si>
    <t>Disorder of right macula due to diabetes mellitus (day 20); Nonproliferative retinopathy of left eye due to diabetes mellitus (day 20); Nonproliferative retinopathy of right eye due to diabetes mellitus (day 20)</t>
  </si>
  <si>
    <t>Disorder of right macula due to diabetes mellitus (day 20); Nonproliferative retinopathy of left eye due to diabetes mellitus (day 20, 601, 975, 1507, 1885, 2947, 3437); Nonproliferative retinopathy of right eye due to diabetes mellitus (day 20, 975, 1507</t>
  </si>
  <si>
    <t>insulin lispro (day 38, for 4 days); insulin lispro (day 94, for 4 days); insulin detemir (day 94, for 0 days); insulin detemir (day 146, for 0 days); insulin lispro (day 146, for 4 days); insulin lispro (day 225, for 27 days); insulin detemir (day 248, f</t>
  </si>
  <si>
    <t>-1520 days - 2785 days</t>
  </si>
  <si>
    <t>Glucose measurement, blood (31.1 millimole per liter, abnormal - high, day 0); Urine screening for glucose (day 0); HbA1c measurement (DCCT aligned) (10.1 international unit per liter, abnormal - high, day 3);</t>
  </si>
  <si>
    <t>Diabetic ketoacidosis (day 2134); Type 1 diabetes mellitus (day 1666)</t>
  </si>
  <si>
    <t>insulin isophane (day 4, for 628 days); insulin, regular, human (day 4, for 628 days); insulin isophane (day 665, for 583 days); insulin, regular, human (day 665, for 583 days); insulin aspart, human (day 1159, for 61 days); insulin glargine (day 1159, fo</t>
  </si>
  <si>
    <t>-187 days - 8514 days</t>
  </si>
  <si>
    <t>insulin, regular, human (day -179, for 62 days); insulin, regular, human (day -84, for 27 days);</t>
  </si>
  <si>
    <t>Nonproliferative retinopathy of left eye due to diabetes mellitus (day 7427, 7827); Nonproliferative retinopathy of right eye due to diabetes mellitus (day 7434, 7827)</t>
  </si>
  <si>
    <t>insulin, regular, human (day 0, for 27 days); insulin, regular, human (day 66, for 27 days); insulin, regular, human (day 128, for 181 days); insulin isophane (day 240, for 27 days); insulin, regular, human (day 351, for 139 days); insulin, regular, human</t>
  </si>
  <si>
    <t>-1928 days - 7690 days</t>
  </si>
  <si>
    <t>Type 2 diabetes mellitus without complication (day -1775, -666)</t>
  </si>
  <si>
    <t>Type 1 diabetes mellitus without complication (day -1787)</t>
  </si>
  <si>
    <t>insulin, regular, human (day -1775, for 29 days); insulin isophane (day -1676, for 84 days); insulin isophane (day -1547, for 192 days); insulin isophane (day -1313, for 125 days); insulin isophane (day -1116, for 433 days); insulin isophane (day -640, fo</t>
  </si>
  <si>
    <t>Nonproliferative retinopathy of left eye due to diabetes mellitus (day 5528, 6958); Nonproliferative retinopathy of right eye due to diabetes mellitus (day 5528, 6958); Proliferative retinopathy due to diabetes mellitus (day 2254); Type 1 diabetes mellitu</t>
  </si>
  <si>
    <t>insulin isophane (day 766, for 561 days); insulin isophane (day 1368, for 437 days); insulin isophane (day 1852, for 111 days); insulin isophane (day 2014, for 224 days); insulin isophane (day 2275, for 55 days); insulin isophane (day 2391, for 120 days);</t>
  </si>
  <si>
    <t>-549 days - 605 days</t>
  </si>
  <si>
    <t>insulin, regular, human (day -505, for 1058 days); insulin isophane (day -505, for 1058 days);</t>
  </si>
  <si>
    <t>-10893 days - 2316 days</t>
  </si>
  <si>
    <t>insulin lispro protamine, human (day 0, for 0 days); insulin lispro (day 0, for 0 days); insulin degludec (day 52, for 28 days); insulin aspart, human (day 52, for 28 days); insulin aspart, human (day 111, for 0 days); insulin degludec (day 111, for 0 day</t>
  </si>
  <si>
    <t>-59 days - 6072 days</t>
  </si>
  <si>
    <t>Type 1 diabetes mellitus (EHR); Type 2 diabetes mellitus (EHR);</t>
  </si>
  <si>
    <t>insulin isophane (day -32, for 335 days);</t>
  </si>
  <si>
    <t>Type 2 diabetes mellitus (day 0)</t>
  </si>
  <si>
    <t>Nonproliferative retinopathy of right eye due to diabetes mellitus (day 2733); Preproliferative retinopathy of left eye due to diabetes mellitus (day 2847); Preproliferative retinopathy of right eye due to diabetes mellitus (day 2847)</t>
  </si>
  <si>
    <t>insulin isophane (day 335, for 340 days); insulin glargine (day 662, for 43 days); insulin aspart protamine, human (day 690, for 1248 days); insulin aspart, human (day 690, for 1248 days); metformin (day 721, for 761 days); metformin (day 1516, for 409 da</t>
  </si>
  <si>
    <t>-1360 days - 114 days</t>
  </si>
  <si>
    <t>insulin, regular, human (day -722, for 29 days); insulin isophane (day -722, for 27 days);</t>
  </si>
  <si>
    <t>-616 days - 4781 days</t>
  </si>
  <si>
    <t>Type 2 diabetes mellitus (day -275)</t>
  </si>
  <si>
    <t>metformin (day -535, for 27 days); metformin (day -468, for 27 days); metformin (day -401, for 27 days); metformin (day -343, for 27 days); metformin (day -275, for 27 days); metformin (day -147, for 80 days); rosiglitazone (day -52, for 52 days); metform</t>
  </si>
  <si>
    <t>Glucose measurement, blood (13.3 millimole per liter, abnormal - high, day -8); HbA1c measurement (DCCT aligned) (10.6 percent, day -7);</t>
  </si>
  <si>
    <t>Neuropathic arthropathy due to diabetes mellitus (day 2801); Retinopathy due to diabetes mellitus (day 1747, 2909); Type 1 diabetes mellitus (day 116, 174)</t>
  </si>
  <si>
    <t>insulin isophane (day 0, for 29 days); insulin, regular, human (day 25, for 27 days); insulin, regular, human (day 118, for 83 days); insulin isophane (day 121, for 29 days); insulin isophane (day 263, for 29 days); insulin isophane (day 370, for 29 days)</t>
  </si>
  <si>
    <t>-2750 days - 3041 days</t>
  </si>
  <si>
    <t>Glucose measurement, blood (33.2 millimole per liter, day 0);</t>
  </si>
  <si>
    <t>insulin detemir (day 7, for 0 days); insulin aspart, human (day 7, for 0 days); insulin aspart, human (day 41, for 0 days); insulin detemir (day 41, for 0 days); insulin detemir (day 154, for 22 days); insulin aspart, human (day 154, for 22 days); insulin</t>
  </si>
  <si>
    <t>-4109 days - 3892 days</t>
  </si>
  <si>
    <t>HbA1c measurement (DCCT aligned) (102 millimole per mole, day 0);</t>
  </si>
  <si>
    <t>Nonproliferative retinopathy of left eye due to diabetes mellitus (day 1909, 2798, 3771)</t>
  </si>
  <si>
    <t>insulin detemir (day 7, for 29 days); insulin aspart, human (day 7, for 27 days); insulin glargine (day 64, for 0 days); insulin aspart, human (day 75, for 27 days); insulin glargine (day 103, for 0 days); insulin aspart, human (day 135, for 548 days); in</t>
  </si>
  <si>
    <t>-269 days - 3335 days</t>
  </si>
  <si>
    <t>Diabetes mellitus (day -269)</t>
  </si>
  <si>
    <t>insulin lispro (day -259, for 922 days); insulin lispro protamine, human (day -259, for 922 days);</t>
  </si>
  <si>
    <t>HbA1c measurement (DCCT aligned) (14 percent, abnormal - high, day -17);</t>
  </si>
  <si>
    <t>Ketoacidosis due to type 1 diabetes mellitus (day 372); Proliferative retinopathy of right eye with diabetes mellitus (day 1331)</t>
  </si>
  <si>
    <t>insulin lispro (day 714, for 363 days); insulin lispro protamine, human (day 714, for 363 days); insulin lispro protamine, human (day 1127, for 95 days); insulin lispro (day 1127, for 95 days); insulin lispro (day 1266, for 342 days); insulin lispro prota</t>
  </si>
  <si>
    <t>-721 days - 3490 days</t>
  </si>
  <si>
    <t>HbA1c measurement (DCCT aligned) (31 millimole per mole, day 0);</t>
  </si>
  <si>
    <t>-844 days - 6331 days</t>
  </si>
  <si>
    <t>insulin isophane (day -690, for 24 days); insulin, regular, pork (day -690, for 24 days); insulin, regular, pork (day -598, for 24 days); insulin isophane (day -598, for 24 days); insulin, regular, human (day -514, for 27 days); insulin, regular, pork (da</t>
  </si>
  <si>
    <t>Urine dipstick for glucose (Nil, day 1);</t>
  </si>
  <si>
    <t xml:space="preserve">insulin isophane (day 15, for 24 days); insulin, regular, pork (day 15, for 24 days); insulin, regular, pork (day 127, for 24 days); insulin isophane (day 127, for 24 days); insulin, regular, pork (day 282, for 24 days); insulin isophane (day 282, for 24 </t>
  </si>
  <si>
    <t>-1045 days - 1862 days</t>
  </si>
  <si>
    <t>insulin, regular, human (day 53, for 2 days); insulin isophane (day 53, for 2 days); insulin aspart, human (day 83, for 27 days); insulin detemir (day 159, for 41 days); insulin aspart, human (day 173, for 27 days); insulin, regular, human (day 246, for 2</t>
  </si>
  <si>
    <t>-109 days - 9765 days</t>
  </si>
  <si>
    <t>Diabetes mellitus (day 74)</t>
  </si>
  <si>
    <t>Nonproliferative retinopathy of right eye due to diabetes mellitus (day 9193); Type 1 diabetes mellitus (day 2279, 8866)</t>
  </si>
  <si>
    <t xml:space="preserve">insulin, regular, human (day 74, for 29 days); insulin isophane (day 74, for 27 days); insulin isophane (day 176, for 27 days); insulin, regular, human (day 176, for 29 days); insulin, regular, human (day 312, for 29 days); insulin isophane (day 312, for </t>
  </si>
  <si>
    <t>-4300 days - 2667 days</t>
  </si>
  <si>
    <t>HbA1c measurement (DCCT aligned) (100 millimole per mole, day 0);</t>
  </si>
  <si>
    <t>insulin detemir (day 2, for 27 days); insulin aspart, human (day 2, for 27 days); insulin aspart, human (day 61, for 815 days); insulin detemir (day 96, for 450 days); insulin detemir (day 610, for 266 days); insulin aspart, human (day 929, for 1742 days)</t>
  </si>
  <si>
    <t>-2926 days - 3431 days</t>
  </si>
  <si>
    <t>Steroid-induced diabetes (day -64)</t>
  </si>
  <si>
    <t>HbA1c measurement (DCCT aligned) (30 millimole per mole, day 21);</t>
  </si>
  <si>
    <t>insulin detemir (day 0, for 27 days); insulin aspart, human (day 0, for 27 days);</t>
  </si>
  <si>
    <t>-3400 days - 4459 days</t>
  </si>
  <si>
    <t>Glucose measurement, blood (14.3 millimole per liter, abnormal - high, day -1); HbA1c measurement (DCCT aligned) (14.8 percent, abnormal - high, day -1); HbA1c measurement (DCCT aligned) (0 , day -1); HbA1c measurement (DCCT aligned) (10.6 , day 1);</t>
  </si>
  <si>
    <t>insulin detemir (day 0, for 64 days); insulin aspart, human (day 0, for 37 days); insulin aspart, human (day 70, for 14 days); insulin aspart, human (day 128, for 21 days); insulin detemir (day 128, for 273 days); insulin aspart, human (day 181, for 0 day</t>
  </si>
  <si>
    <t>-3233 days - 5447 days</t>
  </si>
  <si>
    <t>Candidiasis of mouth (day -2750)</t>
  </si>
  <si>
    <t>Ketoacidosis due to type 1 diabetes mellitus (day 3149); Nonproliferative retinopathy of left eye due to diabetes mellitus (day 1262, 1968, 4751, 4852); Nonproliferative retinopathy of right eye due to diabetes mellitus (day 4299, 4751, 4852)</t>
  </si>
  <si>
    <t>insulin isophane (day 5, for 97 days); insulin aspart, human (day 5, for 0 days); insulin, regular, human (day 5, for 97 days); insulin detemir (day 5, for 21 days); insulin detemir (day 92, for 28 days); insulin aspart, human (day 93, for 27 days); insul</t>
  </si>
  <si>
    <t>-3543 days - 3451 days</t>
  </si>
  <si>
    <t>Subcapsular cataract (day 48)</t>
  </si>
  <si>
    <t>insulin detemir (day 13, for 0 days); insulin aspart, human (day 13, for 3428 days); insulin detemir (day 67, for 0 days); insulin detemir (day 132, for 0 days); insulin detemir (day 173, for 0 days); insulin detemir (day 237, for 0 days); insulin detemir</t>
  </si>
  <si>
    <t>-810 days - 5711 days</t>
  </si>
  <si>
    <t>Diabetes mellitus (day -807)</t>
  </si>
  <si>
    <t xml:space="preserve">insulin isophane (day -795, for 121 days); insulin, regular, human (day -795, for 121 days); insulin, regular, human (day -639, for 29 days); insulin isophane (day -639, for 29 days); insulin, regular, human (day -568, for 29 days); insulin isophane (day </t>
  </si>
  <si>
    <t>HbA1c measurement (DCCT aligned) (9.5 , day -18);</t>
  </si>
  <si>
    <t xml:space="preserve">Disorder of left macula due to diabetes mellitus (day 3076); Disorder of right macula due to diabetes mellitus (day 4175); Nonproliferative retinopathy of left eye due to diabetes mellitus (day 3076, 3245, 4175); Nonproliferative retinopathy of right eye </t>
  </si>
  <si>
    <t>insulin, regular, human (day 3, for 29 days); insulin aspart, human (day 3, for 27 days); insulin isophane (day 3, for 29 days); insulin aspart, human (day 73, for 93 days); insulin isophane (day 73, for 95 days); insulin, regular, human (day 73, for 95 d</t>
  </si>
  <si>
    <t>-6397 days - 478 days</t>
  </si>
  <si>
    <t>Glucose measurement, blood (17.5 millimole per liter, abnormal - high, day -2); HbA1c measurement (DCCT aligned) (127 millimole per mole, abnormal - high, day -2); HbA1c measurement (DCCT aligned) (day -2); Glucose measurement, blood (day -2);</t>
  </si>
  <si>
    <t>insulin aspart, human (day 7, for 20 days); insulin degludec (day 7, for 20 days); insulin aspart, human (day 96, for 0 days); insulin degludec (day 96, for 0 days); insulin aspart, human (day 166, for 30 days); insulin degludec (day 195, for 0 days); ins</t>
  </si>
  <si>
    <t>-364 days - 824 days</t>
  </si>
  <si>
    <t>Family history of diabetes mellitus (day -358)</t>
  </si>
  <si>
    <t>Glucose measurement, blood (15 millimole per liter, day -9); HbA1c measurement (DCCT aligned) (10.9 percent, day 7);</t>
  </si>
  <si>
    <t>insulin aspart, human (day 0, for 0 days); insulin aspart protamine, human (day 0, for 0 days); insulin aspart protamine, human (day 140, for 11 days); insulin aspart, human (day 140, for 11 days); insulin aspart, human (day 195, for 0 days); insulin aspa</t>
  </si>
  <si>
    <t>-1271 days - 1814 days</t>
  </si>
  <si>
    <t>insulin aspart, human (day -6, for 27 days); insulin isophane (day -6, for 46 days); insulin, regular, human (day -6, for 46 days);</t>
  </si>
  <si>
    <t>Glucose measurement, blood (18.4 millimole per liter, day -11);</t>
  </si>
  <si>
    <t>Type 1 diabetes mellitus (day 409)</t>
  </si>
  <si>
    <t>insulin aspart, human (day 101, for 27 days); insulin aspart protamine, human (day 101, for 27 days); insulin aspart, human (day 164, for 72 days); insulin aspart protamine, human (day 164, for 72 days); insulin lispro protamine, human (day 245, for 105 d</t>
  </si>
  <si>
    <t>-76 days - 421 days</t>
  </si>
  <si>
    <t>insulin aspart, human (day -63, for 380 days); insulin isophane (day -63, for 182 days);</t>
  </si>
  <si>
    <t>HbA1c measurement (DCCT aligned) (8.6 percent, day -12); HbA1c measurement (DCCT aligned) (71 millimole per mole, day -12);</t>
  </si>
  <si>
    <t>insulin glargine (day 109, for 0 days); insulin glargine (day 141, for 27 days); insulin glargine (day 207, for 0 days); insulin glargine (day 245, for 25 days); insulin aspart, human (day 354, for 69 days); insulin glargine (day 354, for 0 days);</t>
  </si>
  <si>
    <t>-946 days - 477 days</t>
  </si>
  <si>
    <t>Bilateral cataracts (day -896); Diabetes mellitus (day -919)</t>
  </si>
  <si>
    <t>insulin isophane (day -490, for 54 days); insulin isophane (day -362, for 68 days); insulin isophane (day -247, for 27 days); insulin isophane (day -163, for 27 days);</t>
  </si>
  <si>
    <t>insulin isophane (day 47, for 82 days); insulin isophane (day 246, for 27 days); insulin isophane (day 335, for 7 days); insulin isophane (day 415, for 87 days);</t>
  </si>
  <si>
    <t>-2528 days - 653 days</t>
  </si>
  <si>
    <t>HbA1c measurement (DCCT aligned) (89 millimole per mole, abnormal - high, day 14); Glucose measurement, blood (19.6 millimole per liter, day 14); Glucose measurement, blood (20.9 millimole per liter, abnormal - high, day 14); Glucose measurement, blood (d</t>
  </si>
  <si>
    <t>insulin detemir (day 14, for 35 days); insulin aspart, human (day 19, for 27 days); metformin (day 22, for 27 days); insulin aspart, human (day 90, for 0 days); insulin degludec (day 90, for 0 days); insulin degludec (day 131, for 0 days); insulin aspart,</t>
  </si>
  <si>
    <t>-36 days - 1386 days</t>
  </si>
  <si>
    <t>Ketoacidosis (day -35)</t>
  </si>
  <si>
    <t>Disorder of macula due to diabetes mellitus (day 879); Disorder of nervous system due to diabetes mellitus (day 125); Peripheral vascular disorder due to diabetes mellitus (day 125)</t>
  </si>
  <si>
    <t>insulin aspart, human (day 0, for 29 days); insulin glargine (day 65, for 51 days); insulin aspart, human (day 65, for 51 days); insulin aspart, human (day 174, for 27 days); insulin glargine (day 174, for 27 days); insulin glargine (day 250, for 27 days)</t>
  </si>
  <si>
    <t>-1405 days - 5656 days</t>
  </si>
  <si>
    <t>HbA1c measurement (DCCT aligned) (9.7 , day -1);</t>
  </si>
  <si>
    <t>Ketoacidosis due to type 1 diabetes mellitus (day 4718)</t>
  </si>
  <si>
    <t>insulin, regular, human (day 2, for 28 days); insulin isophane (day 2, for 28 days); insulin lispro (day 58, for 27 days); insulin isophane (day 75, for 27 days); insulin, regular, human (day 75, for 27 days); insulin, regular, human (day 191, for 133 day</t>
  </si>
  <si>
    <t>-6 days - 554 days</t>
  </si>
  <si>
    <t>HbA1c measurement (DCCT aligned) (63 millimole per mole, day 30);</t>
  </si>
  <si>
    <t>Type 1 diabetes mellitus (day 161, 196, 275, 336, 497)</t>
  </si>
  <si>
    <t>insulin aspart, human (day 6, for 0 days); insulin degludec (day 6, for 0 days); insulin aspart, human (day 75, for 0 days); insulin degludec (day 75, for 0 days); insulin degludec (day 142, for 0 days); insulin aspart, human (day 142, for 0 days); insuli</t>
  </si>
  <si>
    <t>-2335 days - 2494 days</t>
  </si>
  <si>
    <t>Family history of diabetes mellitus (day -2328)</t>
  </si>
  <si>
    <t>insulin lispro (day 0, for 0 days); insulin lispro (day 53, for 0 days); metformin (day 53, for 104 days); insulin lispro (day 102, for 0 days); metformin (day 223, for 55 days); insulin lispro (day 223, for 19 days); insulin lispro (day 311, for 0 days);</t>
  </si>
  <si>
    <t>-1133 days - 5348 days</t>
  </si>
  <si>
    <t>Diabetes mellitus (day -1125); Type 2 diabetes mellitus (day -1125, -726)</t>
  </si>
  <si>
    <t>Neuropathy due to diabetes mellitus (day -169); Retinopathy due to diabetes mellitus (day -978, -414)</t>
  </si>
  <si>
    <t>metformin (day -1125, for 817 days); glyburide (day -1125, for 232 days); glyburide (day -847, for 342 days); metformin (day -260, for 1353 days); acarbose (day -85, for 845 days);</t>
  </si>
  <si>
    <t>HbA1c measurement (DCCT aligned) (10.2 percent, abnormal - high, day -11); Glucose measurement, blood (12.3 millimole per liter, day -11);</t>
  </si>
  <si>
    <t>Disorder of right macula due to diabetes mellitus (day 4250); Neuropathy due to diabetes mellitus (day 532, 3377); Nonproliferative retinopathy of left eye due to diabetes mellitus (day 3762); Nonproliferative retinopathy of right eye due to diabetes mell</t>
  </si>
  <si>
    <t xml:space="preserve">insulin isophane (day 0, for 42 days); insulin isophane (day 94, for 67 days); insulin isophane (day 204, for 258 days); insulin isophane (day 497, for 590 days); acarbose (day 806, for 91 days); acarbose (day 933, for 162 days); metformin (day 1136, for </t>
  </si>
  <si>
    <t>-25 days - 235 days</t>
  </si>
  <si>
    <t>Diabetes mellitus (day -3); Family history of diabetes mellitus (day -3)</t>
  </si>
  <si>
    <t>insulin aspart, human (day -10, for 28 days); insulin glargine (day -10, for 55 days);</t>
  </si>
  <si>
    <t>Urine screening for glucose (day -14); Urine screening for glucose (day -11); Serum fasting glucose measurement (11.5 millimole per liter, abnormal - high, day -6);</t>
  </si>
  <si>
    <t>Diabetes mellitus (day -3)</t>
  </si>
  <si>
    <t>insulin glargine (day 147, for 27 days);</t>
  </si>
  <si>
    <t>-166 days - 589 days</t>
  </si>
  <si>
    <t>Type 1 diabetes mellitus (day 243)</t>
  </si>
  <si>
    <t>insulin detemir (day 370, for 37 days); insulin lispro (day 425, for 0 days); insulin detemir (day 474, for 27 days); insulin lispro (day 474, for 0 days); insulin lispro (day 565, for 27 days);</t>
  </si>
  <si>
    <t>-3 days - 1341 days</t>
  </si>
  <si>
    <t>Nonproliferative retinopathy due to diabetes mellitus (day 17)</t>
  </si>
  <si>
    <t>Disorder of left macula due to diabetes mellitus (day 1212); Disorder of right macula due to diabetes mellitus (day 291, 1212); Nonproliferative retinopathy due to diabetes mellitus (day 17, 540); Nonproliferative retinopathy of left eye due to diabetes m</t>
  </si>
  <si>
    <t>insulin aspart, human (day 0, for 0 days); insulin glargine (day 0, for 0 days); insulin aspart, human (day 78, for 0 days); insulin glargine (day 78, for 0 days); insulin aspart, human (day 133, for 0 days); insulin aspart, human (day 231, for 0 days); i</t>
  </si>
  <si>
    <t>-3744 days - 696 days</t>
  </si>
  <si>
    <t>Cataract (day -543); Diabetes mellitus (day -3729, -3675, -3640, -3605, -3479, -3256); Family history of diabetes mellitus (day -3736, -158); Type 2 diabetes mellitus (day -3736)</t>
  </si>
  <si>
    <t>Disorder of macula due to diabetes mellitus (day -2651); Neuropathy due to diabetes mellitus (day -3729); Preproliferative retinopathy due to diabetes mellitus (day -543)</t>
  </si>
  <si>
    <t>glipizide (day -3729, for 83 days); metformin (day -3729, for 81 days); glimepiride (day -3675, for 509 days); insulin isophane (day -3632, for 123 days); metformin (day -3606, for 440 days); insulin isophane (day -3442, for 27 days); insulin isophane (da</t>
  </si>
  <si>
    <t>insulin detemir (day 36, for 27 days); insulin glargine (day 57, for 0 days); insulin glargine (day 93, for 81 days); insulin glargine (day 205, for 28 days); insulin glargine (day 266, for 297 days); insulin glargine (day 596, for 82 days);</t>
  </si>
  <si>
    <t>-630 days - 2283 days</t>
  </si>
  <si>
    <t>HbA1c measurement (DCCT aligned) (70 millimole per mole, day 27);</t>
  </si>
  <si>
    <t>insulin detemir (day 12, for 0 days); insulin aspart, human (day 12, for 1 days); insulin detemir (day 55, for 0 days); insulin aspart, human (day 55, for 1 days); insulin aspart, human (day 97, for 1 days); insulin detemir (day 97, for 0 days); insulin a</t>
  </si>
  <si>
    <t>-85 days - 2316 days</t>
  </si>
  <si>
    <t>insulin glargine (day -36, for 0 days); insulin aspart, human (day -36, for 0 days);</t>
  </si>
  <si>
    <t>Proliferative retinopathy of left eye due to diabetes mellitus (day 1343); Retinopathy due to type 1 diabetes mellitus (day 1496); Type 1 diabetes mellitus (day 750)</t>
  </si>
  <si>
    <t>insulin aspart, human (day 17, for 0 days); insulin glargine (day 17, for 0 days); insulin aspart, human (day 80, for 0 days); insulin glargine (day 80, for 0 days); insulin glargine (day 182, for 0 days); insulin aspart, human (day 182, for 0 days); insu</t>
  </si>
  <si>
    <t>-1 days - 115 days</t>
  </si>
  <si>
    <t>insulin aspart, human (day 0, for 123 days);</t>
  </si>
  <si>
    <t>-11 days - 1130 days</t>
  </si>
  <si>
    <t>Diabetic ketoacidosis (day 741)</t>
  </si>
  <si>
    <t>insulin aspart, human (day 35, for 763 days); insulin glargine (day 780, for 0 days); insulin glargine (day 848, for 0 days); insulin aspart, human (day 848, for 0 days); insulin aspart, human (day 911, for 0 days); insulin glargine (day 911, for 0 days);</t>
  </si>
  <si>
    <t>-42 days - 4337 days</t>
  </si>
  <si>
    <t>Diabetes mellitus (day -38)</t>
  </si>
  <si>
    <t>insulin glargine (day -10, for 82 days); insulin lispro (day -10, for 108 days);</t>
  </si>
  <si>
    <t>Glucose measurement, blood (4.8 millimole per liter, day -7); HbA1c measurement (DCCT aligned) (8.8 percent, day -7);</t>
  </si>
  <si>
    <t>Disorder of macula due to diabetes mellitus (day 1708, 3890); Nonproliferative retinopathy due to diabetes mellitus (day 1782, 2755)</t>
  </si>
  <si>
    <t>insulin lispro (day 137, for 65 days); insulin glargine (day 137, for 65 days); insulin lispro (day 255, for 360 days); insulin glargine (day 326, for 27 days); insulin glargine (day 457, for 77 days); insulin lispro (day 651, for 349 days); insulin glarg</t>
  </si>
  <si>
    <t>-26 days - 456 days</t>
  </si>
  <si>
    <t>Type 1 diabetes mellitus (day 100)</t>
  </si>
  <si>
    <t>insulin glargine (day 4, for 52 days); insulin aspart, human (day 4, for 52 days); insulin aspart, human (day 189, for 0 days); insulin glargine (day 189, for 0 days); insulin glargine (day 309, for 0 days); insulin aspart, human (day 309, for 0 days); in</t>
  </si>
  <si>
    <t>-71 days - 860 days</t>
  </si>
  <si>
    <t>insulin, regular, human (day 0, for 27 days); insulin isophane (day 0, for 27 days); insulin, regular, human (day 64, for 172 days); insulin isophane (day 64, for 172 days); insulin aspart, human (day 211, for 27 days); insulin, regular, human (day 316, f</t>
  </si>
  <si>
    <t>Probable (Treatment Only)</t>
  </si>
  <si>
    <t>No</t>
  </si>
  <si>
    <t>Case (Symptom+Treatment)</t>
  </si>
  <si>
    <t>Row Labels</t>
  </si>
  <si>
    <t>Grand Total</t>
  </si>
  <si>
    <t>Count of ClinicalLabel</t>
  </si>
  <si>
    <t>Count of Adjudication (Choose One from Drop Down)</t>
  </si>
  <si>
    <t>Model</t>
  </si>
  <si>
    <t>GPT 5o</t>
  </si>
  <si>
    <t>%</t>
  </si>
  <si>
    <t>Copilot 4o</t>
  </si>
  <si>
    <t>Copilot 5o</t>
  </si>
  <si>
    <t>Gemini</t>
  </si>
  <si>
    <t>Label</t>
  </si>
  <si>
    <t>Case</t>
  </si>
  <si>
    <t>DANI_CLASSIFICATION</t>
  </si>
  <si>
    <t>COMMENTS</t>
  </si>
  <si>
    <t>CASE (complications + treatment)</t>
  </si>
  <si>
    <t>Likely index date misclassification (complications before index)</t>
  </si>
  <si>
    <t>Likely index date misclassification (t1dm diagnosis before index?)</t>
  </si>
  <si>
    <t>PROBABLE (treatment only)</t>
  </si>
  <si>
    <t>Likely index date misclassification (t1dm diagnosis before index?). Some records of metformin, indicated for type 2 dm</t>
  </si>
  <si>
    <t>NON-CASE (T2DM records)</t>
  </si>
  <si>
    <t>Likely index date misclassification (t2dm diagnosis before index?)</t>
  </si>
  <si>
    <t>Likely index date misclassification (t2dm diagnosis and complications before index?)</t>
  </si>
  <si>
    <t>Maybe secondary diabetes (differential) as presentation coincides with acute pancreatitis</t>
  </si>
  <si>
    <t>Likely index date misclassification (insulin treatment before index)</t>
  </si>
  <si>
    <t>Likely index date misclassification (t2dm diagnosis and metformin treatment before index?)</t>
  </si>
  <si>
    <t>Very young (4yo). We could say that new diabetes at this age is almost warrantee that this is a t1dm CASE</t>
  </si>
  <si>
    <t>Likely index date misclassification (insulin before index)</t>
  </si>
  <si>
    <t>NON-CASE (T2DM treatment, metformin)</t>
  </si>
  <si>
    <t>Likely index date misclassification (insulin before index?)</t>
  </si>
  <si>
    <t>Likely index date misclassification (complications before index?)</t>
  </si>
  <si>
    <t>Diabetes at age 2 is very likely Type 1, could be classified as case</t>
  </si>
  <si>
    <t>Diabetes at age 3 is very likely Type 1, could be classified as case</t>
  </si>
  <si>
    <t>NON-CASE (diagnosis of steroid-induced diabetes)</t>
  </si>
  <si>
    <t>NON-CASE (T2DM treatments)</t>
  </si>
  <si>
    <t>Clinician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</si>
</sst>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indexed="8"/>
      <name val="Aptos Narrow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3" fillId="0" borderId="1" xfId="2" applyFont="1" applyBorder="1" applyAlignment="1">
      <alignment horizontal="center" vertical="top"/>
    </xf>
    <xf numFmtId="0" fontId="2" fillId="0" borderId="0" xfId="2"/>
    <xf numFmtId="0" fontId="4" fillId="0" borderId="1" xfId="2" applyFont="1" applyBorder="1" applyAlignment="1">
      <alignment horizontal="center" vertical="top"/>
    </xf>
    <xf numFmtId="0" fontId="5" fillId="2" borderId="2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0" fillId="0" borderId="4" xfId="0" applyBorder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0" fontId="0" fillId="0" borderId="10" xfId="0" applyBorder="1"/>
    <xf numFmtId="164" fontId="0" fillId="0" borderId="10" xfId="1" applyNumberFormat="1" applyFont="1" applyBorder="1"/>
    <xf numFmtId="0" fontId="0" fillId="0" borderId="11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 textRotation="90"/>
    </xf>
    <xf numFmtId="0" fontId="6" fillId="0" borderId="9" xfId="0" applyFont="1" applyBorder="1" applyAlignment="1">
      <alignment horizontal="center" textRotation="90"/>
    </xf>
    <xf numFmtId="0" fontId="5" fillId="0" borderId="0" xfId="0" applyFont="1" applyAlignment="1">
      <alignment wrapText="1"/>
    </xf>
  </cellXfs>
  <cellStyles count="3">
    <cellStyle name="Normal" xfId="0" builtinId="0"/>
    <cellStyle name="Normal 2" xfId="2" xr:uid="{DB19434C-56B4-FD4E-ABDB-0E57845E1312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Kostka" refreshedDate="45934.684587152777" createdVersion="8" refreshedVersion="8" minRefreshableVersion="3" recordCount="81" xr:uid="{E9E83AFA-8F2A-CF44-AE29-9696FC621720}">
  <cacheSource type="worksheet">
    <worksheetSource ref="A1:T82" sheet="GPT 5o"/>
  </cacheSource>
  <cacheFields count="20">
    <cacheField name="Adjudication (Choose One from Drop Down)" numFmtId="0">
      <sharedItems containsNonDate="0" containsString="0" containsBlank="1"/>
    </cacheField>
    <cacheField name="personId" numFmtId="0">
      <sharedItems containsSemiMixedTypes="0" containsString="0" containsNumber="1" containsInteger="1" minValue="2010394" maxValue="9461110544" count="81">
        <n v="7810823"/>
        <n v="2352010389"/>
        <n v="244010017"/>
        <n v="5359010662"/>
        <n v="261610479"/>
        <n v="378410775"/>
        <n v="1502010397"/>
        <n v="2353710622"/>
        <n v="1045410614"/>
        <n v="4803410866"/>
        <n v="384210994"/>
        <n v="77110497"/>
        <n v="35210409"/>
        <n v="153910595"/>
        <n v="274210173"/>
        <n v="436610288"/>
        <n v="503810366"/>
        <n v="559910689"/>
        <n v="644210241"/>
        <n v="812210207"/>
        <n v="925810409"/>
        <n v="1054010302"/>
        <n v="1525510677"/>
        <n v="1721910803"/>
        <n v="1985010365"/>
        <n v="2020510974"/>
        <n v="2520610627"/>
        <n v="3954810544"/>
        <n v="726710461"/>
        <n v="833410289"/>
        <n v="971510284"/>
        <n v="1094310233"/>
        <n v="38410333"/>
        <n v="3525210465"/>
        <n v="2010394"/>
        <n v="62910668"/>
        <n v="75310568"/>
        <n v="120310166"/>
        <n v="319810053"/>
        <n v="341210634"/>
        <n v="362110891"/>
        <n v="370010311"/>
        <n v="461910966"/>
        <n v="515410701"/>
        <n v="603810956"/>
        <n v="689210365"/>
        <n v="726310128"/>
        <n v="740710960"/>
        <n v="741610129"/>
        <n v="795410971"/>
        <n v="818210372"/>
        <n v="826210737"/>
        <n v="870510178"/>
        <n v="888710791"/>
        <n v="932610840"/>
        <n v="954410764"/>
        <n v="959010761"/>
        <n v="1084310679"/>
        <n v="1084510775"/>
        <n v="1086910999"/>
        <n v="1377210629"/>
        <n v="1559910397"/>
        <n v="1602410226"/>
        <n v="1620610573"/>
        <n v="1675410922"/>
        <n v="1759410412"/>
        <n v="1833510766"/>
        <n v="2079410115"/>
        <n v="2134710591"/>
        <n v="2335110194"/>
        <n v="2482010040"/>
        <n v="2489610789"/>
        <n v="2615910492"/>
        <n v="2723810058"/>
        <n v="2850010979"/>
        <n v="2946010373"/>
        <n v="3181110734"/>
        <n v="3212210166"/>
        <n v="3266510164"/>
        <n v="3354710424"/>
        <n v="9461110544"/>
      </sharedItems>
    </cacheField>
    <cacheField name="age" numFmtId="0">
      <sharedItems containsSemiMixedTypes="0" containsString="0" containsNumber="1" containsInteger="1" minValue="2" maxValue="79"/>
    </cacheField>
    <cacheField name="gender" numFmtId="0">
      <sharedItems/>
    </cacheField>
    <cacheField name="observationPeriod" numFmtId="0">
      <sharedItems/>
    </cacheField>
    <cacheField name="visitContext" numFmtId="0">
      <sharedItems containsBlank="1"/>
    </cacheField>
    <cacheField name="presentation (day 0)" numFmtId="0">
      <sharedItems/>
    </cacheField>
    <cacheField name="comorbidities (day 0)" numFmtId="0">
      <sharedItems containsBlank="1"/>
    </cacheField>
    <cacheField name="symptoms (day 0)" numFmtId="0">
      <sharedItems containsNonDate="0" containsString="0" containsBlank="1"/>
    </cacheField>
    <cacheField name="priorDisease (before day 0)" numFmtId="0">
      <sharedItems containsBlank="1"/>
    </cacheField>
    <cacheField name="priorDrugs  (before day 0)" numFmtId="0">
      <sharedItems containsBlank="1"/>
    </cacheField>
    <cacheField name="priorTreatmentProcedures  (before day 0)" numFmtId="0">
      <sharedItems containsNonDate="0" containsString="0" containsBlank="1"/>
    </cacheField>
    <cacheField name="diagnosticProcedures  (before and after day 0)" numFmtId="0">
      <sharedItems containsNonDate="0" containsString="0" containsBlank="1"/>
    </cacheField>
    <cacheField name="measurements  (before and after day 0)" numFmtId="0">
      <sharedItems containsBlank="1"/>
    </cacheField>
    <cacheField name="alternativeDiagnosis (after day 0)" numFmtId="0">
      <sharedItems containsBlank="1"/>
    </cacheField>
    <cacheField name="afterDisease (after day 0)" numFmtId="0">
      <sharedItems containsBlank="1"/>
    </cacheField>
    <cacheField name="afterTreatmentProcedures (after day 0)" numFmtId="0">
      <sharedItems containsNonDate="0" containsString="0" containsBlank="1"/>
    </cacheField>
    <cacheField name="afterDrugs (after day 0)" numFmtId="0">
      <sharedItems containsBlank="1"/>
    </cacheField>
    <cacheField name="death" numFmtId="0">
      <sharedItems containsNonDate="0" containsString="0" containsBlank="1"/>
    </cacheField>
    <cacheField name="ClinicalLabel" numFmtId="0">
      <sharedItems count="2">
        <s v="Probable"/>
        <s v="No C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Kostka" refreshedDate="45934.685015972223" createdVersion="8" refreshedVersion="8" minRefreshableVersion="3" recordCount="81" xr:uid="{DF742DDA-E9E2-8A42-85E3-265497361091}">
  <cacheSource type="worksheet">
    <worksheetSource ref="A1:S82" sheet="Copilot 4o"/>
  </cacheSource>
  <cacheFields count="19">
    <cacheField name="Adjudication (Choose One from Drop Down)" numFmtId="0">
      <sharedItems count="2">
        <s v="Probable (Treatment Only)"/>
        <s v="No"/>
      </sharedItems>
    </cacheField>
    <cacheField name="personId" numFmtId="0">
      <sharedItems containsSemiMixedTypes="0" containsString="0" containsNumber="1" containsInteger="1" minValue="2010394" maxValue="9461110544"/>
    </cacheField>
    <cacheField name="age" numFmtId="0">
      <sharedItems containsSemiMixedTypes="0" containsString="0" containsNumber="1" containsInteger="1" minValue="2" maxValue="79"/>
    </cacheField>
    <cacheField name="gender" numFmtId="0">
      <sharedItems/>
    </cacheField>
    <cacheField name="observationPeriod" numFmtId="0">
      <sharedItems/>
    </cacheField>
    <cacheField name="visitContext" numFmtId="0">
      <sharedItems containsBlank="1"/>
    </cacheField>
    <cacheField name="presentation (day 0)" numFmtId="0">
      <sharedItems/>
    </cacheField>
    <cacheField name="comorbidities (day 0)" numFmtId="0">
      <sharedItems containsBlank="1"/>
    </cacheField>
    <cacheField name="symptoms (day 0)" numFmtId="0">
      <sharedItems containsNonDate="0" containsString="0" containsBlank="1"/>
    </cacheField>
    <cacheField name="priorDisease (before day 0)" numFmtId="0">
      <sharedItems containsBlank="1"/>
    </cacheField>
    <cacheField name="priorDrugs  (before day 0)" numFmtId="0">
      <sharedItems containsBlank="1"/>
    </cacheField>
    <cacheField name="priorTreatmentProcedures  (before day 0)" numFmtId="0">
      <sharedItems containsNonDate="0" containsString="0" containsBlank="1"/>
    </cacheField>
    <cacheField name="diagnosticProcedures  (before and after day 0)" numFmtId="0">
      <sharedItems containsNonDate="0" containsString="0" containsBlank="1"/>
    </cacheField>
    <cacheField name="measurements  (before and after day 0)" numFmtId="0">
      <sharedItems containsBlank="1"/>
    </cacheField>
    <cacheField name="alternativeDiagnosis (after day 0)" numFmtId="0">
      <sharedItems containsBlank="1"/>
    </cacheField>
    <cacheField name="afterDisease (after day 0)" numFmtId="0">
      <sharedItems containsBlank="1"/>
    </cacheField>
    <cacheField name="afterTreatmentProcedures (after day 0)" numFmtId="0">
      <sharedItems containsNonDate="0" containsString="0" containsBlank="1"/>
    </cacheField>
    <cacheField name="afterDrugs (after day 0)" numFmtId="0">
      <sharedItems containsBlank="1"/>
    </cacheField>
    <cacheField name="death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Kostka" refreshedDate="45934.685348032406" createdVersion="8" refreshedVersion="8" minRefreshableVersion="3" recordCount="81" xr:uid="{4576D2B5-BBBB-4A41-8B58-06AC433907F6}">
  <cacheSource type="worksheet">
    <worksheetSource ref="A1:S82" sheet="Copilot 5o"/>
  </cacheSource>
  <cacheFields count="19">
    <cacheField name="Adjudication (Choose One from Drop Down)" numFmtId="0">
      <sharedItems count="3">
        <s v="Probable (Treatment Only)"/>
        <s v="Case (Symptom+Treatment)"/>
        <s v="No"/>
      </sharedItems>
    </cacheField>
    <cacheField name="personId" numFmtId="0">
      <sharedItems containsSemiMixedTypes="0" containsString="0" containsNumber="1" containsInteger="1" minValue="2010394" maxValue="9461110544"/>
    </cacheField>
    <cacheField name="age" numFmtId="0">
      <sharedItems containsSemiMixedTypes="0" containsString="0" containsNumber="1" containsInteger="1" minValue="2" maxValue="79"/>
    </cacheField>
    <cacheField name="gender" numFmtId="0">
      <sharedItems/>
    </cacheField>
    <cacheField name="observationPeriod" numFmtId="0">
      <sharedItems/>
    </cacheField>
    <cacheField name="visitContext" numFmtId="0">
      <sharedItems containsBlank="1"/>
    </cacheField>
    <cacheField name="presentation (day 0)" numFmtId="0">
      <sharedItems/>
    </cacheField>
    <cacheField name="comorbidities (day 0)" numFmtId="0">
      <sharedItems containsBlank="1"/>
    </cacheField>
    <cacheField name="symptoms (day 0)" numFmtId="0">
      <sharedItems containsNonDate="0" containsString="0" containsBlank="1"/>
    </cacheField>
    <cacheField name="priorDisease (before day 0)" numFmtId="0">
      <sharedItems containsBlank="1"/>
    </cacheField>
    <cacheField name="priorDrugs  (before day 0)" numFmtId="0">
      <sharedItems containsBlank="1"/>
    </cacheField>
    <cacheField name="priorTreatmentProcedures  (before day 0)" numFmtId="0">
      <sharedItems containsNonDate="0" containsString="0" containsBlank="1"/>
    </cacheField>
    <cacheField name="diagnosticProcedures  (before and after day 0)" numFmtId="0">
      <sharedItems containsNonDate="0" containsString="0" containsBlank="1"/>
    </cacheField>
    <cacheField name="measurements  (before and after day 0)" numFmtId="0">
      <sharedItems containsBlank="1"/>
    </cacheField>
    <cacheField name="alternativeDiagnosis (after day 0)" numFmtId="0">
      <sharedItems containsBlank="1"/>
    </cacheField>
    <cacheField name="afterDisease (after day 0)" numFmtId="0">
      <sharedItems containsBlank="1"/>
    </cacheField>
    <cacheField name="afterTreatmentProcedures (after day 0)" numFmtId="0">
      <sharedItems containsNonDate="0" containsString="0" containsBlank="1"/>
    </cacheField>
    <cacheField name="afterDrugs (after day 0)" numFmtId="0">
      <sharedItems containsBlank="1"/>
    </cacheField>
    <cacheField name="death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Kostka" refreshedDate="45934.68563148148" createdVersion="8" refreshedVersion="8" minRefreshableVersion="3" recordCount="81" xr:uid="{EFA3F725-96DA-4640-8CAA-1DE847A70C6D}">
  <cacheSource type="worksheet">
    <worksheetSource ref="A1:S82" sheet="Gemini"/>
  </cacheSource>
  <cacheFields count="19">
    <cacheField name="Adjudication (Choose One from Drop Down)" numFmtId="0">
      <sharedItems count="3">
        <s v="Case (Symptom+Treatment)"/>
        <s v="Probable (Treatment Only)"/>
        <s v="No"/>
      </sharedItems>
    </cacheField>
    <cacheField name="personId" numFmtId="0">
      <sharedItems containsSemiMixedTypes="0" containsString="0" containsNumber="1" containsInteger="1" minValue="2010394" maxValue="9461110544"/>
    </cacheField>
    <cacheField name="age" numFmtId="0">
      <sharedItems containsSemiMixedTypes="0" containsString="0" containsNumber="1" containsInteger="1" minValue="2" maxValue="79"/>
    </cacheField>
    <cacheField name="gender" numFmtId="0">
      <sharedItems/>
    </cacheField>
    <cacheField name="observationPeriod" numFmtId="0">
      <sharedItems/>
    </cacheField>
    <cacheField name="visitContext" numFmtId="0">
      <sharedItems containsBlank="1"/>
    </cacheField>
    <cacheField name="presentation (day 0)" numFmtId="0">
      <sharedItems/>
    </cacheField>
    <cacheField name="comorbidities (day 0)" numFmtId="0">
      <sharedItems containsBlank="1"/>
    </cacheField>
    <cacheField name="symptoms (day 0)" numFmtId="0">
      <sharedItems containsNonDate="0" containsString="0" containsBlank="1"/>
    </cacheField>
    <cacheField name="priorDisease (before day 0)" numFmtId="0">
      <sharedItems containsBlank="1"/>
    </cacheField>
    <cacheField name="priorDrugs  (before day 0)" numFmtId="0">
      <sharedItems containsBlank="1"/>
    </cacheField>
    <cacheField name="priorTreatmentProcedures  (before day 0)" numFmtId="0">
      <sharedItems containsNonDate="0" containsString="0" containsBlank="1"/>
    </cacheField>
    <cacheField name="diagnosticProcedures  (before and after day 0)" numFmtId="0">
      <sharedItems containsNonDate="0" containsString="0" containsBlank="1"/>
    </cacheField>
    <cacheField name="measurements  (before and after day 0)" numFmtId="0">
      <sharedItems containsBlank="1"/>
    </cacheField>
    <cacheField name="alternativeDiagnosis (after day 0)" numFmtId="0">
      <sharedItems containsBlank="1"/>
    </cacheField>
    <cacheField name="afterDisease (after day 0)" numFmtId="0">
      <sharedItems containsBlank="1"/>
    </cacheField>
    <cacheField name="afterTreatmentProcedures (after day 0)" numFmtId="0">
      <sharedItems containsNonDate="0" containsString="0" containsBlank="1"/>
    </cacheField>
    <cacheField name="afterDrugs (after day 0)" numFmtId="0">
      <sharedItems containsBlank="1"/>
    </cacheField>
    <cacheField name="death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m/>
    <x v="0"/>
    <n v="53"/>
    <s v="Female"/>
    <s v="-2979 days - 4196 days"/>
    <s v="Office Visit-&gt;Office Visit"/>
    <s v="10g monofilament sensation L foot normal (EHR); 10g monofilament sensation R foot normal (EHR); All pulses present in left foot (EHR); All pulses present in left lower limb (EHR); All pulses present in right foot (EHR); All pulses present in right lower l"/>
    <m/>
    <m/>
    <s v="Proliferative retinopathy due to diabetes mellitus (day -458); Severe nonproliferative retinopathy due to diabetes mellitus (day -2234)"/>
    <s v="insulin isophane (day -2864, for 55 days); insulin, regular, human (day -2864, for 55 days); insulin, regular, human (day -2775, for 149 days); insulin isophane (day -2775, for 149 days); insulin, regular, human (day -2568, for 55 days); insulin isophane "/>
    <m/>
    <m/>
    <s v="HbA1c measurement (DCCT aligned) (82 millimole per mole, day 0);"/>
    <m/>
    <s v="Nonproliferative retinopathy of left eye due to diabetes mellitus (day 818, 1161); Nonproliferative retinopathy of right eye due to diabetes mellitus (day 182, 818); Preproliferative retinopathy of left eye due to diabetes mellitus (day 1651); Proliferati"/>
    <m/>
    <s v="insulin isophane (day 61, for 27 days); insulin, regular, human (day 61, for 55 days); insulin isophane (day 151, for 27 days); insulin, regular, human (day 151, for 55 days); insulin isophane (day 221, for 69 days); insulin, regular, human (day 263, for "/>
    <m/>
    <x v="0"/>
  </r>
  <r>
    <m/>
    <x v="1"/>
    <n v="20"/>
    <s v="Male"/>
    <s v="-85 days - 166 days"/>
    <m/>
    <s v="Acquired deviated nasal septum (EHR); All pulses present in left lower limb (EHR); All pulses present in right lower limb (EHR); Blood pressure finding (EHR); Finding of foot region (EHR); Normal tactile sensation (EHR); Temporomandibular joint disorder ("/>
    <s v="Family history of diabetes mellitus (day -85)"/>
    <m/>
    <s v="Type 1 diabetes mellitus (day -69)"/>
    <m/>
    <m/>
    <m/>
    <s v="Glucose measurement, blood (6.4 millimole per liter, abnormal - high, day -17); HbA1c measurement (DCCT aligned) (58 millimole per mole, day -17);"/>
    <m/>
    <m/>
    <m/>
    <s v="insulin aspart, human (day 89, for 11 days); insulin glargine (day 89, for 27 days);"/>
    <m/>
    <x v="0"/>
  </r>
  <r>
    <m/>
    <x v="2"/>
    <n v="17"/>
    <s v="Female"/>
    <s v="-2281 days - 4538 days"/>
    <m/>
    <s v="Acute upper respiratory infection (EHR); Acute upper respiratory infection (EHR); Type 1 diabetes mellitus (EHR); Type 1 diabetes mellitus (EHR);"/>
    <m/>
    <m/>
    <s v="Type 1 diabetes mellitus (day -38)"/>
    <s v="insulin, regular, human (day -32, for 408 days); insulin lispro (day -32, for 27 days); insulin isophane (day -32, for 408 days);"/>
    <m/>
    <m/>
    <m/>
    <m/>
    <s v="Ketoacidotic coma due to type 1 diabetes mellitus (day 1871); Type 1 diabetes mellitus (day 66)"/>
    <m/>
    <s v="insulin lispro (day 125, for 27 days); insulin, regular, human (day 413, for 107 days); insulin isophane (day 413, for 107 days); insulin lispro (day 447, for 27 days); insulin isophane (day 583, for 27 days); insulin, regular, human (day 583, for 27 days"/>
    <m/>
    <x v="0"/>
  </r>
  <r>
    <m/>
    <x v="3"/>
    <n v="51"/>
    <s v="Male"/>
    <s v="-2 days - 854 days"/>
    <s v="Office Visit"/>
    <s v="Alcohol dependence (EHR); Alcoholic cirrhosis (EHR); Asthma (EHR); Epilepsy (EHR); Glaucoma (EHR); Retinal detachment (EHR); Traumatic or nontraumatic brain injury (EHR); Type 1 diabetes mellitus (EHR);"/>
    <m/>
    <m/>
    <m/>
    <m/>
    <m/>
    <m/>
    <s v="HbA1c measurement (DCCT aligned) (84 millimole per mole, abnormal - high, day 14);"/>
    <m/>
    <m/>
    <m/>
    <s v="insulin isophane (day 0, for 627 days); insulin, regular, human (day 0, for 627 days); insulin, regular, human (day 742, for 0 days); insulin isophane (day 742, for 0 days); insulin detemir (day 742, for 0 days); insulin, regular, human (day 783, for 0 da"/>
    <m/>
    <x v="0"/>
  </r>
  <r>
    <m/>
    <x v="4"/>
    <n v="39"/>
    <s v="Female"/>
    <s v="-4686 days - 3219 days"/>
    <m/>
    <s v="All pulses present in left lower limb (EHR); All pulses present in right lower limb (EHR); Blood pressure finding (EHR); Type 1 diabetes mellitus (EHR);"/>
    <s v="Diabetes mellitus (day -4670, -4635, -4228, -4130, -3731, -2970, -1745, -576, -499, -430, -317)"/>
    <m/>
    <s v="Type 1 diabetes mellitus (day -476)"/>
    <s v="insulin isophane (day -4565, for 3234 days); insulin, regular, human (day -4565, for 77 days); insulin, regular, human (day -4419, for 393 days); insulin, regular, human (day -3965, for 29 days); insulin, regular, human (day -3878, for 2350 days); metform"/>
    <m/>
    <m/>
    <s v="HbA1c measurement (DCCT aligned) (7.7 percent, day 0);"/>
    <m/>
    <m/>
    <m/>
    <s v="insulin aspart, human (day 53, for 30 days); insulin aspart, human (day 115, for 0 days); insulin aspart, human (day 151, for 0 days); insulin aspart, human (day 196, for 0 days); insulin aspart, human (day 245, for 0 days); insulin aspart, human (day 276"/>
    <m/>
    <x v="0"/>
  </r>
  <r>
    <m/>
    <x v="5"/>
    <n v="34"/>
    <s v="Male"/>
    <s v="-274 days - 8161 days"/>
    <m/>
    <s v="All pulses present in left lower limb (EHR); All pulses present in right lower limb (EHR); Type 1 diabetes mellitus (EHR);"/>
    <s v="Essential hypertension (day -69)"/>
    <m/>
    <s v="Type 1 diabetes mellitus (day -48)"/>
    <s v="insulin, regular, human (day -207, for 291 days); insulin isophane (day -207, for 291 days);"/>
    <m/>
    <m/>
    <s v="HbA1c measurement (DCCT aligned) (0 , day -28); HbA1c measurement (DCCT aligned) (7.8 , day -28);"/>
    <s v="Essential hypertension (day -69)"/>
    <s v="Disorder of left macula due to diabetes mellitus (day 3108, 7617, 7703); Disorder of right macula due to diabetes mellitus (day 7617, 7703); Nonproliferative retinopathy due to diabetes mellitus (day 371); Nonproliferative retinopathy of left eye due to d"/>
    <m/>
    <s v="insulin, regular, human (day 115, for 146 days); insulin isophane (day 115, for 146 days); insulin isophane (day 296, for 53 days); insulin, regular, human (day 296, for 53 days); insulin, regular, human (day 382, for 368 days); insulin isophane (day 382,"/>
    <m/>
    <x v="1"/>
  </r>
  <r>
    <m/>
    <x v="6"/>
    <n v="16"/>
    <s v="Male"/>
    <s v="-2646 days - 911 days"/>
    <m/>
    <s v="All pulses present in left lower limb (EHR); All pulses present in right lower limb (EHR); Blood pressure finding (EHR); Type 1 diabetes mellitus (EHR);"/>
    <m/>
    <m/>
    <s v="Type 1 diabetes mellitus (day -677, -630)"/>
    <s v="insulin aspart, human (day -676, for 1586 days); insulin isophane (day -676, for 44 days); insulin, regular, human (day -676, for 44 days); insulin aspart protamine, human (day -645, for 1150 days); insulin detemir (day -104, for 23 days); insulin detemir"/>
    <m/>
    <m/>
    <m/>
    <m/>
    <m/>
    <m/>
    <s v="insulin detemir (day 55, for 30 days); insulin detemir (day 140, for 0 days); insulin detemir (day 232, for 0 days); insulin detemir (day 315, for 30 days); insulin glargine (day 414, for 28 days); metformin (day 414, for 29 days); metformin (day 478, for"/>
    <m/>
    <x v="0"/>
  </r>
  <r>
    <m/>
    <x v="7"/>
    <n v="18"/>
    <s v="Female"/>
    <s v="-2093 days - 237 days"/>
    <m/>
    <s v="All pulses present in left lower limb (EHR); All pulses present in right lower limb (EHR); Blood pressure finding (EHR); Type 1 diabetes mellitus (EHR);"/>
    <s v="Candidiasis (day -160)"/>
    <m/>
    <s v="Type 1 diabetes mellitus (day -435)"/>
    <s v="insulin glargine (day -435, for 13 days); insulin aspart, human (day -435, for 13 days); insulin glargine (day -380, for 23 days); insulin aspart, human (day -380, for 86 days); insulin glargine (day -294, for 0 days); insulin aspart, human (day -247, for"/>
    <m/>
    <m/>
    <s v="HbA1c measurement (DCCT aligned) (86 millimole per mole, day -7);"/>
    <m/>
    <m/>
    <m/>
    <s v="insulin aspart, human (day 34, for 0 days); insulin degludec (day 34, for 0 days); insulin aspart, human (day 78, for 0 days); insulin aspart, human (day 126, for 0 days); insulin degludec (day 126, for 0 days); insulin degludec (day 202, for 0 days); ins"/>
    <m/>
    <x v="0"/>
  </r>
  <r>
    <m/>
    <x v="8"/>
    <n v="40"/>
    <s v="Female"/>
    <s v="-14 days - 5874 days"/>
    <s v="Office Visit"/>
    <s v="Allergic reaction to drug (EHR); Type 1 diabetes mellitus (EHR);"/>
    <m/>
    <m/>
    <m/>
    <m/>
    <m/>
    <m/>
    <m/>
    <m/>
    <s v="Disorder of nervous system due to diabetes mellitus (day 3240, 5340)"/>
    <m/>
    <s v="insulin, regular, human (day 50, for 29 days); insulin isophane (day 50, for 29 days); insulin, regular, human (day 178, for 29 days); insulin isophane (day 178, for 29 days); insulin, regular, human (day 246, for 29 days); insulin isophane (day 246, for "/>
    <m/>
    <x v="0"/>
  </r>
  <r>
    <m/>
    <x v="9"/>
    <n v="20"/>
    <s v="Female"/>
    <s v="-12 days - 83 days"/>
    <s v="Office Visit"/>
    <s v="Asthma (EHR); Obesity (EHR); Type 1 diabetes mellitus (EHR);"/>
    <m/>
    <m/>
    <m/>
    <m/>
    <m/>
    <m/>
    <m/>
    <s v="Obesity (day 0)"/>
    <m/>
    <m/>
    <s v="insulin aspart, human (day 0, for 55 days); insulin glargine (day 0, for 0 days); insulin glargine (day 70, for 0 days);"/>
    <m/>
    <x v="1"/>
  </r>
  <r>
    <m/>
    <x v="10"/>
    <n v="30"/>
    <s v="Male"/>
    <s v="-7106 days - 903 days"/>
    <s v="Office Visit"/>
    <s v="Asymptomatic periapical periodontitis (EHR); Dental caries (EHR); Type 1 diabetes mellitus (EHR);"/>
    <s v="Cyst of pancreas (day -5967, -4488, -3139)"/>
    <m/>
    <m/>
    <m/>
    <m/>
    <m/>
    <m/>
    <m/>
    <m/>
    <m/>
    <s v="insulin glargine (day 8, for 178 days); insulin aspart, human (day 8, for 178 days); insulin aspart, human (day 218, for 243 days); insulin glargine (day 218, for 243 days); insulin aspart, human (day 543, for 28 days); insulin glargine (day 543, for 28 d"/>
    <m/>
    <x v="0"/>
  </r>
  <r>
    <m/>
    <x v="11"/>
    <n v="26"/>
    <s v="Male"/>
    <s v="-3834 days - 107 days"/>
    <m/>
    <s v="Atopic conjunctivitis (EHR); Type 1 diabetes mellitus (EHR);"/>
    <s v="Diabetes mellitus (day -2101, -1801, -576); Diabetic - good control (day -2085, -1779, -1289, -1107, -771)"/>
    <m/>
    <s v="Retinopathy due to diabetes mellitus (day -341); Type 1 diabetes mellitus (day -2008, -1304)"/>
    <s v="insulin, regular, human (day -2095, for 35 days); insulin isophane (day -2095, for 35 days); insulin, regular, human (day -2024, for 29 days); insulin isophane (day -2024, for 29 days); insulin, regular, human (day -1954, for 29 days); insulin isophane (d"/>
    <m/>
    <m/>
    <m/>
    <m/>
    <m/>
    <m/>
    <m/>
    <m/>
    <x v="0"/>
  </r>
  <r>
    <m/>
    <x v="12"/>
    <n v="29"/>
    <s v="Male"/>
    <s v="-2078 days - 851 days"/>
    <m/>
    <s v="Blood pressure finding (EHR); Type 1 diabetes mellitus (EHR);"/>
    <s v="Diabetes mellitus (day -1829, -1186, -286)"/>
    <m/>
    <s v="Type 1 diabetes mellitus (day -972)"/>
    <s v="insulin, regular, human (day -2052, for 98 days); insulin isophane (day -1996, for 42 days); insulin isophane (day -1878, for 632 days); insulin, regular, human (day -1878, for 156 days); insulin lispro (day -1707, for 353 days); insulin lispro (day -1323"/>
    <m/>
    <m/>
    <m/>
    <m/>
    <s v="Type 1 diabetes mellitus (day 624, 704)"/>
    <m/>
    <s v="insulin lispro (day 25, for 27 days); insulin lispro (day 104, for 67 days); insulin glargine (day 180, for 57 days); insulin lispro (day 210, for 27 days); insulin glargine (day 277, for 154 days); insulin lispro (day 343, for 27 days); insulin lispro (d"/>
    <m/>
    <x v="0"/>
  </r>
  <r>
    <m/>
    <x v="13"/>
    <n v="62"/>
    <s v="Male"/>
    <s v="-1716 days - 479 days"/>
    <m/>
    <s v="Blood pressure finding (EHR); Finding of vibration sense (EHR); Pulse present in left dorsalis pedis artery (EHR); Pulse present in left posterior tibial artery (EHR); Pulse present in right dorsalis pedis artery (EHR); Pulse present in right posterior ti"/>
    <s v="Diabetes mellitus (day -778, -455, -372); Essential hypertension (day -1008); Insulin treated type 2 diabetes mellitus (day -778); Type 2 diabetes mellitus (day -372)"/>
    <m/>
    <s v="Type 1 diabetes mellitus (day -778)"/>
    <s v="insulin isophane (day -35, for 312 days);"/>
    <m/>
    <m/>
    <s v="Glucose measurement, blood (14.8 , day -9); HbA1c measurement (DCCT aligned) (5.8 , day -9); Glucose measurement, blood (14.8 , day 0); HbA1c measurement (DCCT aligned) (5.8 , day 0); Urine screening for glucose (day 0);"/>
    <m/>
    <s v="Type 1 diabetes mellitus (day 228)"/>
    <m/>
    <s v="insulin isophane (day 322, for 144 days);"/>
    <m/>
    <x v="0"/>
  </r>
  <r>
    <m/>
    <x v="14"/>
    <n v="77"/>
    <s v="Female"/>
    <s v="-357 days - 765 days"/>
    <m/>
    <s v="Blood pressure finding (EHR); Type 1 diabetes mellitus (EHR);"/>
    <s v="Diabetes mellitus (day -91)"/>
    <m/>
    <s v="Type 1 diabetes mellitus (day -91)"/>
    <s v="insulin, regular, human (day -91, for 163 days); insulin isophane (day -91, for 163 days);"/>
    <m/>
    <m/>
    <m/>
    <m/>
    <m/>
    <m/>
    <s v="insulin isophane (day 164, for 44 days); insulin, regular, human (day 164, for 44 days); insulin isophane (day 282, for 27 days); insulin, regular, human (day 282, for 27 days); insulin isophane (day 357, for 27 days); insulin, regular, human (day 357, fo"/>
    <m/>
    <x v="0"/>
  </r>
  <r>
    <m/>
    <x v="15"/>
    <n v="67"/>
    <s v="Female"/>
    <s v="-5268 days - 480 days"/>
    <m/>
    <s v="Blood pressure finding (EHR); Type 1 diabetes mellitus (EHR);"/>
    <s v="Diabetes mellitus (day -4682, -4472, -4000, -3916, -2986); Family history of diabetes mellitus (day -3923); Type 2 diabetes mellitus (day -5140, -4197, -4063, -3309, -2993)"/>
    <m/>
    <s v="Autonomic neuropathy due to diabetes mellitus (day -3779); Disorder of nervous system due to diabetes mellitus (day -3552, -3281, -3090); Neuropathy due to diabetes mellitus (day -4609); Type 1 diabetes mellitus (day -2979, -88)"/>
    <s v="metformin (day -5250, for 1522 days); insulin isophane (day -5241, for 2196 days); acarbose (day -5236, for 1728 days); pioglitazone (day -4000, for 27 days); pioglitazone (day -3916, for 184 days); insulin glargine (day -3902, for 37 days); metformin (da"/>
    <m/>
    <m/>
    <s v="HbA1c measurement (DCCT aligned) (34 millimole per mole, normal, day -7);"/>
    <m/>
    <m/>
    <m/>
    <s v="insulin isophane (day 323, for 27 days); insulin isophane (day 385, for 112 days);"/>
    <m/>
    <x v="0"/>
  </r>
  <r>
    <m/>
    <x v="16"/>
    <n v="72"/>
    <s v="Male"/>
    <s v="-5496 days - 1202 days"/>
    <s v="Office Visit"/>
    <s v="Blood pressure finding (EHR); Diabetes mellitus (EHR); Type 1 diabetes mellitus (EHR);"/>
    <s v="Acute pancreatitis (day -38); Essential hypertension (day -1177, -830, -674)"/>
    <m/>
    <m/>
    <m/>
    <m/>
    <m/>
    <m/>
    <s v="Acute pancreatitis (day -38); Diabetes mellitus (day 0)"/>
    <m/>
    <m/>
    <s v="insulin aspart, human (day 33, for 60 days); insulin aspart protamine, human (day 33, for 60 days); insulin glargine (day 125, for 98 days); insulin glargine (day 279, for 27 days); insulin glargine (day 369, for 67 days); insulin glargine (day 510, for 2"/>
    <m/>
    <x v="1"/>
  </r>
  <r>
    <m/>
    <x v="17"/>
    <n v="34"/>
    <s v="Male"/>
    <s v="-1186 days - 4197 days"/>
    <s v="Office Visit-&gt;Office Visit"/>
    <s v="Blood pressure finding (EHR); Type 1 diabetes mellitus (EHR);"/>
    <s v="Diabetes mellitus (day -350)"/>
    <m/>
    <m/>
    <s v="insulin, regular, human (day -1108, for 27 days); insulin, regular, human (day -1043, for 27 days); insulin, regular, human (day -892, for 85 days); insulin, regular, human (day -599, for 27 days); insulin, regular, human (day -487, for 27 days); insulin,"/>
    <m/>
    <m/>
    <s v="HbA1c measurement (DCCT aligned) (8.4 , day 0);"/>
    <m/>
    <s v="Diabetic hand syndrome (day 882, 958); Nonproliferative retinopathy due to diabetes mellitus (day 376); Retinopathy due to diabetes mellitus (day 3657, 4043); Type 1 diabetes mellitus (day 950, 1137)"/>
    <m/>
    <s v="insulin, regular, human (day 21, for 27 days); insulin, regular, human (day 112, for 27 days); insulin, regular, human (day 207, for 27 days); insulin, regular, human (day 341, for 27 days); insulin, regular, human (day 416, for 27 days); insulin, regular"/>
    <m/>
    <x v="0"/>
  </r>
  <r>
    <m/>
    <x v="18"/>
    <n v="66"/>
    <s v="Male"/>
    <s v="-4926 days - 262 days"/>
    <s v="Office Visit"/>
    <s v="Blood pressure finding (EHR); Type 1 diabetes mellitus (EHR);"/>
    <s v="Diabetes mellitus (day -2589, -469); Essential hypertension (day -155); Type 2 diabetes mellitus (day -2589)"/>
    <m/>
    <s v="Nonproliferative retinopathy due to diabetes mellitus (day -173)"/>
    <s v="glyburide (day -1513, for 111 days);"/>
    <m/>
    <m/>
    <m/>
    <m/>
    <m/>
    <m/>
    <s v="insulin isophane (day 0, for 27 days); insulin, regular, human (day 0, for 27 days); insulin isophane (day 80, for 27 days); insulin, regular, human (day 80, for 27 days); insulin isophane (day 142, for 27 days); insulin, regular, human (day 142, for 27 d"/>
    <m/>
    <x v="0"/>
  </r>
  <r>
    <m/>
    <x v="19"/>
    <n v="38"/>
    <s v="Female"/>
    <s v="-85 days - 4750 days"/>
    <s v="Office Visit"/>
    <s v="Blood pressure finding (EHR); Type 1 diabetes mellitus (EHR);"/>
    <m/>
    <m/>
    <m/>
    <m/>
    <m/>
    <m/>
    <s v="Serum fasting glucose measurement (15 millimole per liter, day 12);"/>
    <m/>
    <m/>
    <m/>
    <s v="insulin isophane (day 0, for 76 days); insulin, regular, human (day 0, for 76 days); insulin, regular, human (day 113, for 133 days); insulin isophane (day 113, for 133 days); insulin, regular, human (day 289, for 27 days); insulin isophane (day 289, for "/>
    <m/>
    <x v="0"/>
  </r>
  <r>
    <m/>
    <x v="20"/>
    <n v="31"/>
    <s v="Female"/>
    <s v="-2831 days - 1990 days"/>
    <m/>
    <s v="Blood pressure finding (EHR); Blood pressure finding (EHR); Blood pressure finding (EHR); Blood pressure finding (EHR); Blood pressure finding (EHR); Blood pressure finding (EHR); Blood pressure finding (EHR); Type 1 diabetes mellitus (EHR); Type 1 diabet"/>
    <s v="Candidiasis (day -2698, -2159); Candidiasis of vagina (day -2699); Diabetes mellitus (day -1851, -1669, -1368, -1168)"/>
    <m/>
    <s v="Retinopathy due to diabetes mellitus (day -2272, -1424, -866, -140); Type 1 diabetes mellitus (day -853, -140, -28)"/>
    <s v="insulin isophane (day -2791, for 230 days); insulin, regular, human (day -2791, for 230 days); insulin isophane (day -2527, for 142 days); insulin, regular, human (day -2527, for 142 days); insulin, regular, human (day -2337, for 54 days); insulin isophan"/>
    <m/>
    <m/>
    <s v="HbA1c measurement (DCCT aligned) (8.3 percent, day 14); Glucose measurement, blood (9.2 millimole per liter, day 14); HbA1c measurement (DCCT aligned) (8.8 percent, day 28);"/>
    <m/>
    <s v="Retinopathy due to diabetes mellitus (day 794, 849, 1682, 1745); Type 1 diabetes mellitus (day 80, 303, 337, 458, 591, 819, 917, 962, 997, 1193, 1234)"/>
    <m/>
    <s v="insulin aspart, human (day 17, for 27 days); insulin glargine (day 211, for 27 days); insulin aspart, human (day 211, for 27 days); insulin aspart, human (day 309, for 27 days); insulin glargine (day 309, for 27 days); insulin glargine (day 367, for 425 d"/>
    <m/>
    <x v="0"/>
  </r>
  <r>
    <m/>
    <x v="21"/>
    <n v="33"/>
    <s v="Female"/>
    <s v="-4416 days - 710 days"/>
    <m/>
    <s v="Blood pressure finding (EHR); Blood pressure finding (EHR); Blood pressure finding (EHR); Blood pressure finding (EHR); Type 1 diabetes mellitus (EHR); Type 1 diabetes mellitus (EHR); Type 1 diabetes mellitus (EHR); Type 1 diabetes mellitus (EHR);"/>
    <s v="Candidiasis (day -3653, -3374, -2751, -2520, -2473, -1795, -1539, -1274, -1177, -335); Candidiasis of vagina (day -3047, -2179, -2123, -1896); Diabetes mellitus (day -4042, -3471, -3110, -2960, -2737, -2544, -2330, -2270, -2226, -2192, -2044, -1974, -1647"/>
    <m/>
    <s v="Hypoglycemic coma due to type 1 diabetes mellitus (day -2197, -2158); Ketoacidosis due to type 1 diabetes mellitus (day -3038); Loss of hypoglycemic warning due to diabetes mellitus (day -836, -581); Proliferative retinopathy due to diabetes mellitus (day"/>
    <s v="insulin lispro (day -4396, for 29 days); insulin lispro (day -4336, for 29 days); insulin isophane (day -4336, for 29 days); insulin lispro (day -4251, for 29 days); insulin isophane (day -4251, for 29 days); insulin lispro (day -4129, for 29 days); insul"/>
    <m/>
    <m/>
    <s v="Serum fasting glucose measurement (3.4 millimole per liter, normal, day 0); HbA1c measurement (DCCT aligned) (83 millimole per mole, abnormal - high, day 0);"/>
    <m/>
    <s v="Proliferative retinopathy due to diabetes mellitus (day 639); Type 1 diabetes mellitus (day 40)"/>
    <m/>
    <s v="insulin lispro (day 77, for 0 days); insulin detemir (day 77, for 74 days); insulin lispro (day 124, for 0 days); insulin detemir (day 182, for 179 days); insulin lispro (day 182, for 0 days); insulin lispro (day 238, for 0 days); insulin lispro (day 295,"/>
    <m/>
    <x v="0"/>
  </r>
  <r>
    <m/>
    <x v="22"/>
    <n v="39"/>
    <s v="Male"/>
    <s v="-2640 days - 6782 days"/>
    <m/>
    <s v="Blood pressure finding (EHR); Blood pressure finding (EHR); Blood pressure finding (EHR); Blood pressure finding (EHR); Type 1 diabetes mellitus (EHR); Type 1 diabetes mellitus (EHR); Type 1 diabetes mellitus (EHR); Type 1 diabetes mellitus (EHR);"/>
    <s v="Diabetes mellitus (day -980)"/>
    <m/>
    <s v="Type 1 diabetes mellitus (day -1184, -939)"/>
    <s v="insulin aspart protamine, human (day -966, for 152 days); insulin aspart, human (day -966, for 152 days); insulin aspart, human (day -771, for 0 days); insulin aspart protamine, human (day -771, for 0 days); insulin aspart protamine, human (day -715, for "/>
    <m/>
    <m/>
    <s v="Self-monitoring of blood glucose (day 0); Glucose measurement, blood (11.5 , day 0);"/>
    <m/>
    <s v="Disorder of left macula due to diabetes mellitus (day 5412); Disorder of macula due to diabetes mellitus (day 5340, 5412); Nonproliferative retinopathy due to diabetes mellitus (day 3952, 4402, 5340, 5412, 5643); Nonproliferative retinopathy of left eye d"/>
    <m/>
    <s v="insulin aspart protamine, human (day 5, for 0 days); insulin aspart, human (day 5, for 0 days); insulin aspart protamine, human (day 46, for 0 days); insulin aspart, human (day 46, for 0 days); insulin aspart protamine, human (day 110, for 0 days); insuli"/>
    <m/>
    <x v="0"/>
  </r>
  <r>
    <m/>
    <x v="23"/>
    <n v="34"/>
    <s v="Male"/>
    <s v=" days -  days"/>
    <s v="Office Visit-&gt;Office Visit"/>
    <s v="Blood pressure finding (EHR); Blood pressure finding (EHR); Type 1 diabetes mellitus (EHR); Type 1 diabetes mellitus (EHR);"/>
    <m/>
    <m/>
    <m/>
    <m/>
    <m/>
    <m/>
    <m/>
    <m/>
    <m/>
    <m/>
    <s v="insulin detemir (day 10, for 1158 days); insulin aspart, human (day 10, for 2252 days); insulin degludec (day 1164, for 72 days); insulin degludec (day 1270, for 0 days); insulin degludec (day 1316, for 319 days); insulin degludec (day 1667, for 164 days)"/>
    <m/>
    <x v="0"/>
  </r>
  <r>
    <m/>
    <x v="24"/>
    <n v="72"/>
    <s v="Male"/>
    <s v="-300 days - 1502 days"/>
    <s v="Office Visit-&gt;Office Visit"/>
    <s v="Blood pressure finding (EHR); Type 1 diabetes mellitus (EHR);"/>
    <m/>
    <m/>
    <m/>
    <s v="insulin isophane (day -289, for 142 days); insulin, regular, human (day -287, for 0 days); insulin, regular, human (day -217, for 172 days); insulin isophane (day -72, for 29 days); insulin, regular, human (day -12, for 191 days); insulin isophane (day -1"/>
    <m/>
    <m/>
    <s v="Glucose measurement, blood (12.7 millimole per liter, day -12);"/>
    <m/>
    <s v="Persistent microalbuminuria due to type 1 diabetes mellitus (day 1080); Type 1 diabetes mellitus (day 48, 517, 595)"/>
    <m/>
    <s v="insulin isophane (day 96, for 29 days); insulin, regular, human (day 211, for 82 days); insulin isophane (day 211, for 29 days); insulin, regular, human (day 327, for 792 days); insulin isophane (day 327, for 29 days); insulin isophane (day 418, for 101 d"/>
    <m/>
    <x v="0"/>
  </r>
  <r>
    <m/>
    <x v="25"/>
    <n v="55"/>
    <s v="Male"/>
    <s v="-3204 days - 4530 days"/>
    <s v="Office Visit-&gt;Office Visit"/>
    <s v="Blood pressure finding (EHR); Type 1 diabetes mellitus (EHR);"/>
    <s v="Essential hypertension (day -3113); Hyperlipidemia (day -2840, -2667, -2030, -1952, -1862, -1077, -894, -230); Insulin treated type 2 diabetes mellitus (day -3204); Obesity (day -2484); Type 2 diabetes mellitus (day -3204, -2675, -2303, -2041, -824, -467)"/>
    <m/>
    <s v="Nonproliferative retinopathy due to diabetes mellitus (day -3070); Retinopathy due to diabetes mellitus (day -2484)"/>
    <s v="metformin (day -3178, for 56 days); insulin, regular, human (day -3143, for 206 days); insulin isophane (day -3143, for 206 days); metformin (day -3086, for 104 days); metformin (day -2945, for 89 days); insulin aspart, human (day -2939, for 4424 days); i"/>
    <m/>
    <m/>
    <m/>
    <m/>
    <s v="Type 1 diabetes mellitus (day 1198)"/>
    <m/>
    <s v="metformin (day 115, for 54 days); metformin (day 205, for 138 days); metformin (day 391, for 371 days); metformin (day 822, for 116 days); metformin (day 981, for 57 days); metformin (day 1127, for 27 days); metformin (day 1198, for 27 days); metformin (d"/>
    <m/>
    <x v="0"/>
  </r>
  <r>
    <m/>
    <x v="26"/>
    <n v="44"/>
    <s v="Female"/>
    <s v=" days -  days"/>
    <s v="Office Visit-&gt;Office Visit"/>
    <s v="Blood pressure finding (EHR); Type 1 diabetes mellitus (EHR);"/>
    <m/>
    <m/>
    <m/>
    <m/>
    <m/>
    <m/>
    <m/>
    <m/>
    <s v="Retinopathy due to diabetes mellitus (day 188); Type 1 diabetes mellitus (day 539)"/>
    <m/>
    <s v="insulin aspart, human (day 82, for 0 days); insulin detemir (day 82, for 84 days); insulin aspart, human (day 367, for 44 days); insulin aspart, human (day 454, for 27 days); insulin detemir (day 454, for 27 days); insulin detemir (day 553, for 122 days);"/>
    <m/>
    <x v="0"/>
  </r>
  <r>
    <m/>
    <x v="27"/>
    <n v="58"/>
    <s v="Male"/>
    <s v="-2017 days - 3651 days"/>
    <m/>
    <s v="Blood pressure finding (EHR); Finding of foot region (EHR); Type 1 diabetes mellitus (EHR);"/>
    <s v="Calculus of pancreas (day -1068); Diabetes mellitus (day -581); Type 2 diabetes mellitus (day -1919, -581)"/>
    <m/>
    <s v="Type 1 diabetes mellitus (day -581)"/>
    <s v="glipizide (day -1596, for 124 days); glipizide (day -1410, for 27 days); glipizide (day -1305, for 96 days); glipizide (day -1165, for 55 days); glipizide (day -1065, for 55 days); insulin isophane (day -1023, for 27 days); insulin, regular, human (day -9"/>
    <m/>
    <m/>
    <s v="HbA1c measurement (DCCT aligned) (7.3 percent, day 0);"/>
    <m/>
    <s v="Nonproliferative retinopathy due to diabetes mellitus (day 2692); Preproliferative retinopathy due to diabetes mellitus (day 3024); Retinopathy due to type 2 diabetes mellitus (day 2446)"/>
    <m/>
    <s v="insulin isophane (day 39, for 27 days); insulin lispro (day 39, for 27 days); insulin isophane (day 472, for 132 days); insulin lispro (day 528, for 76 days); insulin lispro (day 781, for 27 days); insulin isophane (day 781, for 27 days); insulin glargine"/>
    <m/>
    <x v="0"/>
  </r>
  <r>
    <m/>
    <x v="28"/>
    <n v="47"/>
    <s v="Male"/>
    <s v="-1428 days - 6734 days"/>
    <s v="Office Visit-&gt;Office Visit"/>
    <s v="Diabetes mellitus (EHR); Diabetes mellitus (EHR); Type 1 diabetes mellitus (EHR); Type 1 diabetes mellitus (EHR);"/>
    <s v="Diabetes mellitus (day -1047)"/>
    <m/>
    <m/>
    <s v="insulin, protamine zinc, beef (day -1422, for 27 days); insulin, protamine zinc, beef (day -1348, for 27 days); insulin, protamine zinc, beef (day -1264, for 27 days); insulin, protamine zinc, beef (day -1198, for 27 days); insulin, protamine zinc, beef ("/>
    <m/>
    <m/>
    <m/>
    <s v="Diabetes mellitus (day 0); Retinopathy due to diabetes mellitus (day 76)"/>
    <s v="Proliferative retinopathy due to diabetes mellitus (day 3989, 4187, 4898); Retinopathy due to diabetes mellitus (day 76); Type 1 diabetes mellitus (day 3836, 3995, 4195, 4797, 5033, 5098, 5546)"/>
    <m/>
    <s v="insulin, regular, human (day 315, for 460 days); insulin, regular, human (day 838, for 630 days); insulin, regular, human (day 1504, for 27 days); insulin isophane (day 1567, for 1167 days); insulin, regular, human (day 1567, for 1141 days); insulin, regu"/>
    <m/>
    <x v="1"/>
  </r>
  <r>
    <m/>
    <x v="29"/>
    <n v="24"/>
    <s v="Female"/>
    <s v="-2491 days - 4727 days"/>
    <s v="Office Visit-&gt;Office Visit"/>
    <s v="Diabetes mellitus (EHR); Type 1 diabetes mellitus (EHR);"/>
    <m/>
    <m/>
    <m/>
    <m/>
    <m/>
    <m/>
    <m/>
    <s v="Diabetes mellitus (day 0); Type 2 diabetes mellitus (day 1)"/>
    <s v="Diabetic ketoacidosis (day 2350, 2965, 3454, 3982); Retinopathy due to diabetes mellitus (day 3925); Type 1 diabetes mellitus (day 1627, 3035)"/>
    <m/>
    <s v="metformin (day 3, for 29 days); metformin (day 72, for 29 days); metformin (day 302, for 29 days); metformin (day 423, for 29 days); insulin, regular, human (day 436, for 27 days); insulin isophane (day 436, for 27 days); insulin isophane (day 519, for 27"/>
    <m/>
    <x v="1"/>
  </r>
  <r>
    <m/>
    <x v="30"/>
    <n v="60"/>
    <s v="Male"/>
    <s v="-350 days - 4511 days"/>
    <s v="Office Visit-&gt;Office Visit"/>
    <s v="Diabetes mellitus (EHR); Type 1 diabetes mellitus (EHR);"/>
    <m/>
    <m/>
    <m/>
    <m/>
    <m/>
    <m/>
    <m/>
    <s v="Diabetes mellitus (day 0)"/>
    <s v="Neuropathy due to diabetes mellitus (day 2914)"/>
    <m/>
    <s v="insulin, regular, human (day 989, for 27 days); insulin isophane (day 989, for 27 days); insulin isophane (day 1150, for 27 days); insulin, regular, human (day 1150, for 27 days); insulin isophane (day 1239, for 27 days); insulin, regular, human (day 1239"/>
    <m/>
    <x v="1"/>
  </r>
  <r>
    <m/>
    <x v="31"/>
    <n v="4"/>
    <s v="Male"/>
    <s v="-1374 days - 6593 days"/>
    <s v="Office Visit-&gt;Office Visit"/>
    <s v="Diabetes mellitus (EHR); Type 1 diabetes mellitus (EHR);"/>
    <m/>
    <m/>
    <m/>
    <m/>
    <m/>
    <m/>
    <s v="Urine screening for glucose (day 0);"/>
    <s v="Diabetes mellitus (day 0)"/>
    <s v="Type 1 diabetes mellitus (day 4064)"/>
    <m/>
    <s v="insulin, regular, human (day 4, for 541 days); insulin isophane (day 4, for 541 days); insulin isophane (day 710, for 27 days); insulin, regular, human (day 710, for 27 days); insulin isophane (day 770, for 118 days); insulin, regular, human (day 770, for"/>
    <m/>
    <x v="1"/>
  </r>
  <r>
    <m/>
    <x v="32"/>
    <n v="33"/>
    <s v="Female"/>
    <s v="-157 days - 4631 days"/>
    <s v="Office Visit-&gt;Office Visit"/>
    <s v="Hyperlipidemia (EHR); Neuropathic arthropathy due to diabetes mellitus (EHR); Neuropathy due to diabetes mellitus (EHR); Retinopathy due to diabetes mellitus (EHR); Type 1 diabetes mellitus (EHR);"/>
    <m/>
    <m/>
    <m/>
    <s v="insulin isophane (day -153, for 398 days); insulin lispro (day -153, for 230 days);"/>
    <m/>
    <m/>
    <m/>
    <s v="Hyperlipidemia (day 0); Neuropathic arthropathy due to diabetes mellitus (day 0); Neuropathy due to diabetes mellitus (day 0); Retinopathy due to diabetes mellitus (day 0)"/>
    <s v="Mixed diabetic ulcer - foot (day 3620); Neuropathic arthropathy due to diabetes mellitus (day 320); Retinopathy due to diabetes mellitus (day 327); Type 1 diabetes mellitus (day 722)"/>
    <m/>
    <s v="metformin (day 112, for 3000 days); insulin lispro (day 126, for 119 days); insulin lispro (day 293, for 186 days); insulin isophane (day 340, for 139 days); insulin lispro (day 529, for 121 days); insulin glargine (day 529, for 121 days); insulin lispro "/>
    <m/>
    <x v="1"/>
  </r>
  <r>
    <m/>
    <x v="33"/>
    <n v="56"/>
    <s v="Male"/>
    <s v="-3534 days - 923 days"/>
    <m/>
    <s v="Pain of knee region (EHR); Type 1 diabetes mellitus (EHR);"/>
    <m/>
    <m/>
    <s v="Type 1 diabetes mellitus (day -1266)"/>
    <s v="insulin, regular, human (day -1266, for 69 days); insulin isophane (day -1266, for 69 days); insulin isophane (day -883, for 27 days); insulin, regular, human (day -883, for 27 days); insulin isophane (day -758, for 27 days); insulin, regular, human (day "/>
    <m/>
    <m/>
    <m/>
    <m/>
    <m/>
    <m/>
    <s v="insulin, regular, human (day 103, for 27 days); insulin isophane (day 103, for 27 days); insulin, regular, human (day 187, for 27 days); insulin isophane (day 187, for 27 days); insulin isophane (day 264, for 57 days); insulin, regular, human (day 264, fo"/>
    <m/>
    <x v="0"/>
  </r>
  <r>
    <m/>
    <x v="34"/>
    <n v="33"/>
    <s v="Male"/>
    <s v="-1662 days - 3112 days"/>
    <s v="Office Visit-&gt;Office Visit"/>
    <s v="Type 1 diabetes mellitus (EHR); Type 1 diabetes mellitus (EHR);"/>
    <m/>
    <m/>
    <m/>
    <s v="insulin isophane (day -1654, for 27 days); insulin, regular, human (day -1654, for 27 days); insulin, regular, human (day -1581, for 161 days); insulin isophane (day -1581, for 163 days); insulin isophane (day -1366, for 84 days); insulin, regular, human "/>
    <m/>
    <m/>
    <m/>
    <m/>
    <s v="Disorder of eye due to type 1 diabetes mellitus (day 1141); Type 1 diabetes mellitus (day 105)"/>
    <m/>
    <s v="insulin isophane (day 78, for 88 days); insulin, regular, human (day 78, for 88 days); insulin, regular, human (day 212, for 27 days); insulin isophane (day 212, for 27 days); insulin, regular, human (day 279, for 257 days); insulin isophane (day 279, for"/>
    <m/>
    <x v="0"/>
  </r>
  <r>
    <m/>
    <x v="35"/>
    <n v="59"/>
    <s v="Male"/>
    <s v="-3237 days - 2951 days"/>
    <s v="Office Visit-&gt;Office Visit"/>
    <s v="Type 1 diabetes mellitus (EHR);"/>
    <s v="Essential hypertension (day -2509)"/>
    <m/>
    <m/>
    <m/>
    <m/>
    <m/>
    <s v="HbA1c measurement (DCCT aligned) (11 percent, day 0); HbA1c measurement (DCCT aligned) (97 millimole per mole, day 0);"/>
    <m/>
    <s v="Type 1 diabetes mellitus (day 392, 803)"/>
    <m/>
    <s v="insulin glargine (day 66, for 27 days); insulin aspart, human (day 66, for 27 days); insulin aspart, human (day 158, for 0 days); insulin glargine (day 180, for 0 days); insulin aspart, human (day 223, for 0 days); insulin aspart, human (day 279, for 0 da"/>
    <m/>
    <x v="0"/>
  </r>
  <r>
    <m/>
    <x v="36"/>
    <n v="54"/>
    <s v="Female"/>
    <s v="-871 days - 493 days"/>
    <s v="Office Visit"/>
    <s v="Type 1 diabetes mellitus (EHR);"/>
    <s v="Diabetes mellitus (day -222)"/>
    <m/>
    <s v="Skin ulcer due to diabetes mellitus (day -222)"/>
    <s v="metformin (day -639, for 439 days); insulin, regular, human (day -220, for 182 days);"/>
    <m/>
    <m/>
    <s v="HbA1c measurement (DCCT aligned) (0 , day 27);"/>
    <m/>
    <m/>
    <m/>
    <s v="metformin (day 2, for 68 days); insulin, regular, human (day 8, for 126 days); metformin (day 111, for 27 days); insulin, regular, human (day 219, for 274 days); insulin isophane (day 250, for 27 days); insulin isophane (day 393, for 27 days);"/>
    <m/>
    <x v="0"/>
  </r>
  <r>
    <m/>
    <x v="37"/>
    <n v="33"/>
    <s v="Female"/>
    <s v="-5336 days - 3561 days"/>
    <s v="Office Visit"/>
    <s v="Type 1 diabetes mellitus (EHR);"/>
    <s v="Diabetes mellitus (day -3540); Family history of diabetes mellitus (day -3214, -1877)"/>
    <m/>
    <s v="Disorder of right macula due to diabetes mellitus (day -484); Nonproliferative retinopathy due to diabetes mellitus (day -2041); Nonproliferative retinopathy of left eye due to diabetes mellitus (day -484); Nonproliferative retinopathy of right eye due to"/>
    <s v="insulin, regular, human (day -5335, for 122 days); insulin isophane (day -5333, for 95 days); insulin lispro (day -5214, for 1975 days); insulin isophane (day -5185, for 1666 days); insulin glargine (day -3540, for 299 days); insulin lispro (day -3106, fo"/>
    <m/>
    <m/>
    <m/>
    <s v="Disorder of right macula due to diabetes mellitus (day 20); Nonproliferative retinopathy of left eye due to diabetes mellitus (day 20); Nonproliferative retinopathy of right eye due to diabetes mellitus (day 20)"/>
    <s v="Disorder of right macula due to diabetes mellitus (day 20); Nonproliferative retinopathy of left eye due to diabetes mellitus (day 20, 601, 975, 1507, 1885, 2947, 3437); Nonproliferative retinopathy of right eye due to diabetes mellitus (day 20, 975, 1507"/>
    <m/>
    <s v="insulin lispro (day 38, for 4 days); insulin lispro (day 94, for 4 days); insulin detemir (day 94, for 0 days); insulin detemir (day 146, for 0 days); insulin lispro (day 146, for 4 days); insulin lispro (day 225, for 27 days); insulin detemir (day 248, f"/>
    <m/>
    <x v="1"/>
  </r>
  <r>
    <m/>
    <x v="38"/>
    <n v="13"/>
    <s v="Male"/>
    <s v="-1520 days - 2785 days"/>
    <s v="Office Visit-&gt;Office Visit"/>
    <s v="Type 1 diabetes mellitus (EHR); Type 1 diabetes mellitus (EHR);"/>
    <m/>
    <m/>
    <m/>
    <m/>
    <m/>
    <m/>
    <s v="Glucose measurement, blood (31.1 millimole per liter, abnormal - high, day 0); Urine screening for glucose (day 0); HbA1c measurement (DCCT aligned) (10.1 international unit per liter, abnormal - high, day 3);"/>
    <m/>
    <s v="Diabetic ketoacidosis (day 2134); Type 1 diabetes mellitus (day 1666)"/>
    <m/>
    <s v="insulin isophane (day 4, for 628 days); insulin, regular, human (day 4, for 628 days); insulin isophane (day 665, for 583 days); insulin, regular, human (day 665, for 583 days); insulin aspart, human (day 1159, for 61 days); insulin glargine (day 1159, fo"/>
    <m/>
    <x v="0"/>
  </r>
  <r>
    <m/>
    <x v="39"/>
    <n v="17"/>
    <s v="Male"/>
    <s v="-187 days - 8514 days"/>
    <s v="Office Visit"/>
    <s v="Type 1 diabetes mellitus (EHR);"/>
    <m/>
    <m/>
    <m/>
    <s v="insulin, regular, human (day -179, for 62 days); insulin, regular, human (day -84, for 27 days);"/>
    <m/>
    <m/>
    <m/>
    <m/>
    <s v="Nonproliferative retinopathy of left eye due to diabetes mellitus (day 7427, 7827); Nonproliferative retinopathy of right eye due to diabetes mellitus (day 7434, 7827)"/>
    <m/>
    <s v="insulin, regular, human (day 0, for 27 days); insulin, regular, human (day 66, for 27 days); insulin, regular, human (day 128, for 181 days); insulin isophane (day 240, for 27 days); insulin, regular, human (day 351, for 139 days); insulin, regular, human"/>
    <m/>
    <x v="0"/>
  </r>
  <r>
    <m/>
    <x v="40"/>
    <n v="40"/>
    <s v="Male"/>
    <s v="-1928 days - 7690 days"/>
    <m/>
    <s v="Type 1 diabetes mellitus (EHR);"/>
    <s v="Type 2 diabetes mellitus without complication (day -1775, -666)"/>
    <m/>
    <s v="Type 1 diabetes mellitus without complication (day -1787)"/>
    <s v="insulin, regular, human (day -1775, for 29 days); insulin isophane (day -1676, for 84 days); insulin isophane (day -1547, for 192 days); insulin isophane (day -1313, for 125 days); insulin isophane (day -1116, for 433 days); insulin isophane (day -640, fo"/>
    <m/>
    <m/>
    <m/>
    <m/>
    <s v="Nonproliferative retinopathy of left eye due to diabetes mellitus (day 5528, 6958); Nonproliferative retinopathy of right eye due to diabetes mellitus (day 5528, 6958); Proliferative retinopathy due to diabetes mellitus (day 2254); Type 1 diabetes mellitu"/>
    <m/>
    <s v="insulin isophane (day 766, for 561 days); insulin isophane (day 1368, for 437 days); insulin isophane (day 1852, for 111 days); insulin isophane (day 2014, for 224 days); insulin isophane (day 2275, for 55 days); insulin isophane (day 2391, for 120 days);"/>
    <m/>
    <x v="0"/>
  </r>
  <r>
    <m/>
    <x v="41"/>
    <n v="79"/>
    <s v="Male"/>
    <s v="-549 days - 605 days"/>
    <s v="Office Visit"/>
    <s v="Type 1 diabetes mellitus (EHR);"/>
    <m/>
    <m/>
    <m/>
    <s v="insulin, regular, human (day -505, for 1058 days); insulin isophane (day -505, for 1058 days);"/>
    <m/>
    <m/>
    <m/>
    <m/>
    <m/>
    <m/>
    <m/>
    <m/>
    <x v="0"/>
  </r>
  <r>
    <m/>
    <x v="42"/>
    <n v="31"/>
    <s v="Male"/>
    <s v="-10893 days - 2316 days"/>
    <s v="Office Visit"/>
    <s v="Type 1 diabetes mellitus (EHR);"/>
    <m/>
    <m/>
    <m/>
    <m/>
    <m/>
    <m/>
    <m/>
    <m/>
    <m/>
    <m/>
    <s v="insulin lispro protamine, human (day 0, for 0 days); insulin lispro (day 0, for 0 days); insulin degludec (day 52, for 28 days); insulin aspart, human (day 52, for 28 days); insulin aspart, human (day 111, for 0 days); insulin degludec (day 111, for 0 day"/>
    <m/>
    <x v="0"/>
  </r>
  <r>
    <m/>
    <x v="43"/>
    <n v="58"/>
    <s v="Female"/>
    <s v="-59 days - 6072 days"/>
    <s v="Office Visit"/>
    <s v="Type 1 diabetes mellitus (EHR); Type 2 diabetes mellitus (EHR);"/>
    <m/>
    <m/>
    <m/>
    <s v="insulin isophane (day -32, for 335 days);"/>
    <m/>
    <m/>
    <m/>
    <s v="Type 2 diabetes mellitus (day 0)"/>
    <s v="Nonproliferative retinopathy of right eye due to diabetes mellitus (day 2733); Preproliferative retinopathy of left eye due to diabetes mellitus (day 2847); Preproliferative retinopathy of right eye due to diabetes mellitus (day 2847)"/>
    <m/>
    <s v="insulin isophane (day 335, for 340 days); insulin glargine (day 662, for 43 days); insulin aspart protamine, human (day 690, for 1248 days); insulin aspart, human (day 690, for 1248 days); metformin (day 721, for 761 days); metformin (day 1516, for 409 da"/>
    <m/>
    <x v="1"/>
  </r>
  <r>
    <m/>
    <x v="44"/>
    <n v="18"/>
    <s v="Female"/>
    <s v="-1360 days - 114 days"/>
    <s v="Office Visit"/>
    <s v="Type 1 diabetes mellitus (EHR);"/>
    <m/>
    <m/>
    <m/>
    <s v="insulin, regular, human (day -722, for 29 days); insulin isophane (day -722, for 27 days);"/>
    <m/>
    <m/>
    <m/>
    <m/>
    <m/>
    <m/>
    <m/>
    <m/>
    <x v="0"/>
  </r>
  <r>
    <m/>
    <x v="45"/>
    <n v="71"/>
    <s v="Male"/>
    <s v="-616 days - 4781 days"/>
    <s v="Office Visit-&gt;Office Visit"/>
    <s v="Type 1 diabetes mellitus (EHR); Type 1 diabetes mellitus (EHR);"/>
    <s v="Type 2 diabetes mellitus (day -275)"/>
    <m/>
    <m/>
    <s v="metformin (day -535, for 27 days); metformin (day -468, for 27 days); metformin (day -401, for 27 days); metformin (day -343, for 27 days); metformin (day -275, for 27 days); metformin (day -147, for 80 days); rosiglitazone (day -52, for 52 days); metform"/>
    <m/>
    <m/>
    <s v="Glucose measurement, blood (13.3 millimole per liter, abnormal - high, day -8); HbA1c measurement (DCCT aligned) (10.6 percent, day -7);"/>
    <m/>
    <s v="Neuropathic arthropathy due to diabetes mellitus (day 2801); Retinopathy due to diabetes mellitus (day 1747, 2909); Type 1 diabetes mellitus (day 116, 174)"/>
    <m/>
    <s v="insulin isophane (day 0, for 29 days); insulin, regular, human (day 25, for 27 days); insulin, regular, human (day 118, for 83 days); insulin isophane (day 121, for 29 days); insulin isophane (day 263, for 29 days); insulin isophane (day 370, for 29 days)"/>
    <m/>
    <x v="0"/>
  </r>
  <r>
    <m/>
    <x v="46"/>
    <n v="17"/>
    <s v="Female"/>
    <s v="-2750 days - 3041 days"/>
    <s v="Office Visit"/>
    <s v="Type 1 diabetes mellitus (EHR);"/>
    <m/>
    <m/>
    <m/>
    <m/>
    <m/>
    <m/>
    <s v="Glucose measurement, blood (33.2 millimole per liter, day 0);"/>
    <m/>
    <m/>
    <m/>
    <s v="insulin detemir (day 7, for 0 days); insulin aspart, human (day 7, for 0 days); insulin aspart, human (day 41, for 0 days); insulin detemir (day 41, for 0 days); insulin detemir (day 154, for 22 days); insulin aspart, human (day 154, for 22 days); insulin"/>
    <m/>
    <x v="0"/>
  </r>
  <r>
    <m/>
    <x v="47"/>
    <n v="12"/>
    <s v="Female"/>
    <s v="-4109 days - 3892 days"/>
    <s v="Office Visit"/>
    <s v="Type 1 diabetes mellitus (EHR);"/>
    <m/>
    <m/>
    <m/>
    <m/>
    <m/>
    <m/>
    <s v="HbA1c measurement (DCCT aligned) (102 millimole per mole, day 0);"/>
    <m/>
    <s v="Nonproliferative retinopathy of left eye due to diabetes mellitus (day 1909, 2798, 3771)"/>
    <m/>
    <s v="insulin detemir (day 7, for 29 days); insulin aspart, human (day 7, for 27 days); insulin glargine (day 64, for 0 days); insulin aspart, human (day 75, for 27 days); insulin glargine (day 103, for 0 days); insulin aspart, human (day 135, for 548 days); in"/>
    <m/>
    <x v="0"/>
  </r>
  <r>
    <m/>
    <x v="48"/>
    <n v="24"/>
    <s v="Male"/>
    <s v="-269 days - 3335 days"/>
    <s v="Office Visit"/>
    <s v="Type 1 diabetes mellitus (EHR);"/>
    <s v="Diabetes mellitus (day -269)"/>
    <m/>
    <m/>
    <s v="insulin lispro (day -259, for 922 days); insulin lispro protamine, human (day -259, for 922 days);"/>
    <m/>
    <m/>
    <s v="HbA1c measurement (DCCT aligned) (14 percent, abnormal - high, day -17);"/>
    <m/>
    <s v="Ketoacidosis due to type 1 diabetes mellitus (day 372); Proliferative retinopathy of right eye with diabetes mellitus (day 1331)"/>
    <m/>
    <s v="insulin lispro (day 714, for 363 days); insulin lispro protamine, human (day 714, for 363 days); insulin lispro protamine, human (day 1127, for 95 days); insulin lispro (day 1127, for 95 days); insulin lispro (day 1266, for 342 days); insulin lispro prota"/>
    <m/>
    <x v="0"/>
  </r>
  <r>
    <m/>
    <x v="49"/>
    <n v="2"/>
    <s v="Female"/>
    <s v="-721 days - 3490 days"/>
    <s v="Office Visit"/>
    <s v="Type 1 diabetes mellitus (EHR);"/>
    <m/>
    <m/>
    <m/>
    <m/>
    <m/>
    <m/>
    <s v="HbA1c measurement (DCCT aligned) (31 millimole per mole, day 0);"/>
    <m/>
    <m/>
    <m/>
    <m/>
    <m/>
    <x v="1"/>
  </r>
  <r>
    <m/>
    <x v="50"/>
    <n v="57"/>
    <s v="Male"/>
    <s v="-844 days - 6331 days"/>
    <s v="Office Visit"/>
    <s v="Type 1 diabetes mellitus (EHR);"/>
    <m/>
    <m/>
    <m/>
    <s v="insulin isophane (day -690, for 24 days); insulin, regular, pork (day -690, for 24 days); insulin, regular, pork (day -598, for 24 days); insulin isophane (day -598, for 24 days); insulin, regular, human (day -514, for 27 days); insulin, regular, pork (da"/>
    <m/>
    <m/>
    <s v="Urine dipstick for glucose (Nil, day 1);"/>
    <m/>
    <m/>
    <m/>
    <s v="insulin isophane (day 15, for 24 days); insulin, regular, pork (day 15, for 24 days); insulin, regular, pork (day 127, for 24 days); insulin isophane (day 127, for 24 days); insulin, regular, pork (day 282, for 24 days); insulin isophane (day 282, for 24 "/>
    <m/>
    <x v="0"/>
  </r>
  <r>
    <m/>
    <x v="51"/>
    <n v="3"/>
    <s v="Female"/>
    <s v="-1045 days - 1862 days"/>
    <s v="Office Visit"/>
    <s v="Type 1 diabetes mellitus (EHR);"/>
    <m/>
    <m/>
    <m/>
    <m/>
    <m/>
    <m/>
    <m/>
    <m/>
    <m/>
    <m/>
    <s v="insulin, regular, human (day 53, for 2 days); insulin isophane (day 53, for 2 days); insulin aspart, human (day 83, for 27 days); insulin detemir (day 159, for 41 days); insulin aspart, human (day 173, for 27 days); insulin, regular, human (day 246, for 2"/>
    <m/>
    <x v="0"/>
  </r>
  <r>
    <m/>
    <x v="52"/>
    <n v="60"/>
    <s v="Male"/>
    <s v="-109 days - 9765 days"/>
    <s v="Office Visit-&gt;Office Visit"/>
    <s v="Type 1 diabetes mellitus (EHR);"/>
    <m/>
    <m/>
    <m/>
    <m/>
    <m/>
    <m/>
    <m/>
    <s v="Diabetes mellitus (day 74)"/>
    <s v="Nonproliferative retinopathy of right eye due to diabetes mellitus (day 9193); Type 1 diabetes mellitus (day 2279, 8866)"/>
    <m/>
    <s v="insulin, regular, human (day 74, for 29 days); insulin isophane (day 74, for 27 days); insulin isophane (day 176, for 27 days); insulin, regular, human (day 176, for 29 days); insulin, regular, human (day 312, for 29 days); insulin isophane (day 312, for "/>
    <m/>
    <x v="1"/>
  </r>
  <r>
    <m/>
    <x v="53"/>
    <n v="12"/>
    <s v="Female"/>
    <s v="-4300 days - 2667 days"/>
    <s v="Office Visit-&gt;Office Visit"/>
    <s v="Type 1 diabetes mellitus (EHR);"/>
    <m/>
    <m/>
    <m/>
    <m/>
    <m/>
    <m/>
    <s v="HbA1c measurement (DCCT aligned) (100 millimole per mole, day 0);"/>
    <m/>
    <m/>
    <m/>
    <s v="insulin detemir (day 2, for 27 days); insulin aspart, human (day 2, for 27 days); insulin aspart, human (day 61, for 815 days); insulin detemir (day 96, for 450 days); insulin detemir (day 610, for 266 days); insulin aspart, human (day 929, for 1742 days)"/>
    <m/>
    <x v="0"/>
  </r>
  <r>
    <m/>
    <x v="54"/>
    <n v="13"/>
    <s v="Female"/>
    <s v="-2926 days - 3431 days"/>
    <s v="Office Visit"/>
    <s v="Type 1 diabetes mellitus (EHR);"/>
    <s v="Steroid-induced diabetes (day -64)"/>
    <m/>
    <m/>
    <m/>
    <m/>
    <m/>
    <s v="HbA1c measurement (DCCT aligned) (30 millimole per mole, day 21);"/>
    <s v="Steroid-induced diabetes (day -64)"/>
    <m/>
    <m/>
    <s v="insulin detemir (day 0, for 27 days); insulin aspart, human (day 0, for 27 days);"/>
    <m/>
    <x v="1"/>
  </r>
  <r>
    <m/>
    <x v="55"/>
    <n v="19"/>
    <s v="Female"/>
    <s v="-3400 days - 4459 days"/>
    <s v="Office Visit-&gt;Office Visit"/>
    <s v="Type 1 diabetes mellitus (EHR);"/>
    <m/>
    <m/>
    <m/>
    <m/>
    <m/>
    <m/>
    <s v="Glucose measurement, blood (14.3 millimole per liter, abnormal - high, day -1); HbA1c measurement (DCCT aligned) (14.8 percent, abnormal - high, day -1); HbA1c measurement (DCCT aligned) (0 , day -1); HbA1c measurement (DCCT aligned) (10.6 , day 1);"/>
    <m/>
    <m/>
    <m/>
    <s v="insulin detemir (day 0, for 64 days); insulin aspart, human (day 0, for 37 days); insulin aspart, human (day 70, for 14 days); insulin aspart, human (day 128, for 21 days); insulin detemir (day 128, for 273 days); insulin aspart, human (day 181, for 0 day"/>
    <m/>
    <x v="0"/>
  </r>
  <r>
    <m/>
    <x v="56"/>
    <n v="9"/>
    <s v="Female"/>
    <s v="-3233 days - 5447 days"/>
    <s v="Office Visit"/>
    <s v="Type 1 diabetes mellitus (EHR);"/>
    <s v="Candidiasis of mouth (day -2750)"/>
    <m/>
    <m/>
    <m/>
    <m/>
    <m/>
    <m/>
    <m/>
    <s v="Ketoacidosis due to type 1 diabetes mellitus (day 3149); Nonproliferative retinopathy of left eye due to diabetes mellitus (day 1262, 1968, 4751, 4852); Nonproliferative retinopathy of right eye due to diabetes mellitus (day 4299, 4751, 4852)"/>
    <m/>
    <s v="insulin isophane (day 5, for 97 days); insulin aspart, human (day 5, for 0 days); insulin, regular, human (day 5, for 97 days); insulin detemir (day 5, for 21 days); insulin detemir (day 92, for 28 days); insulin aspart, human (day 93, for 27 days); insul"/>
    <m/>
    <x v="0"/>
  </r>
  <r>
    <m/>
    <x v="57"/>
    <n v="14"/>
    <s v="Male"/>
    <s v="-3543 days - 3451 days"/>
    <s v="Office Visit"/>
    <s v="Type 1 diabetes mellitus (EHR);"/>
    <m/>
    <m/>
    <m/>
    <m/>
    <m/>
    <m/>
    <m/>
    <s v="Subcapsular cataract (day 48)"/>
    <m/>
    <m/>
    <s v="insulin detemir (day 13, for 0 days); insulin aspart, human (day 13, for 3428 days); insulin detemir (day 67, for 0 days); insulin detemir (day 132, for 0 days); insulin detemir (day 173, for 0 days); insulin detemir (day 237, for 0 days); insulin detemir"/>
    <m/>
    <x v="1"/>
  </r>
  <r>
    <m/>
    <x v="58"/>
    <n v="14"/>
    <s v="Female"/>
    <s v="-810 days - 5711 days"/>
    <s v="Office Visit"/>
    <s v="Type 1 diabetes mellitus (EHR);"/>
    <s v="Diabetes mellitus (day -807)"/>
    <m/>
    <m/>
    <s v="insulin isophane (day -795, for 121 days); insulin, regular, human (day -795, for 121 days); insulin, regular, human (day -639, for 29 days); insulin isophane (day -639, for 29 days); insulin, regular, human (day -568, for 29 days); insulin isophane (day "/>
    <m/>
    <m/>
    <s v="HbA1c measurement (DCCT aligned) (9.5 , day -18);"/>
    <m/>
    <s v="Disorder of left macula due to diabetes mellitus (day 3076); Disorder of right macula due to diabetes mellitus (day 4175); Nonproliferative retinopathy of left eye due to diabetes mellitus (day 3076, 3245, 4175); Nonproliferative retinopathy of right eye "/>
    <m/>
    <s v="insulin, regular, human (day 3, for 29 days); insulin aspart, human (day 3, for 27 days); insulin isophane (day 3, for 29 days); insulin aspart, human (day 73, for 93 days); insulin isophane (day 73, for 95 days); insulin, regular, human (day 73, for 95 d"/>
    <m/>
    <x v="0"/>
  </r>
  <r>
    <m/>
    <x v="59"/>
    <n v="27"/>
    <s v="Male"/>
    <s v="-6397 days - 478 days"/>
    <s v="Office Visit"/>
    <s v="Type 1 diabetes mellitus (EHR);"/>
    <m/>
    <m/>
    <m/>
    <m/>
    <m/>
    <m/>
    <s v="Glucose measurement, blood (17.5 millimole per liter, abnormal - high, day -2); HbA1c measurement (DCCT aligned) (127 millimole per mole, abnormal - high, day -2); HbA1c measurement (DCCT aligned) (day -2); Glucose measurement, blood (day -2);"/>
    <m/>
    <m/>
    <m/>
    <s v="insulin aspart, human (day 7, for 20 days); insulin degludec (day 7, for 20 days); insulin aspart, human (day 96, for 0 days); insulin degludec (day 96, for 0 days); insulin aspart, human (day 166, for 30 days); insulin degludec (day 195, for 0 days); ins"/>
    <m/>
    <x v="0"/>
  </r>
  <r>
    <m/>
    <x v="60"/>
    <n v="50"/>
    <s v="Female"/>
    <s v="-364 days - 824 days"/>
    <s v="Office Visit"/>
    <s v="Type 1 diabetes mellitus (EHR);"/>
    <s v="Family history of diabetes mellitus (day -358)"/>
    <m/>
    <m/>
    <m/>
    <m/>
    <m/>
    <s v="Glucose measurement, blood (15 millimole per liter, day -9); HbA1c measurement (DCCT aligned) (10.9 percent, day 7);"/>
    <m/>
    <m/>
    <m/>
    <s v="insulin aspart, human (day 0, for 0 days); insulin aspart protamine, human (day 0, for 0 days); insulin aspart protamine, human (day 140, for 11 days); insulin aspart, human (day 140, for 11 days); insulin aspart, human (day 195, for 0 days); insulin aspa"/>
    <m/>
    <x v="0"/>
  </r>
  <r>
    <m/>
    <x v="61"/>
    <n v="13"/>
    <s v="Male"/>
    <s v="-1271 days - 1814 days"/>
    <s v="Office Visit-&gt;Office Visit"/>
    <s v="Type 1 diabetes mellitus (EHR);"/>
    <m/>
    <m/>
    <m/>
    <s v="insulin aspart, human (day -6, for 27 days); insulin isophane (day -6, for 46 days); insulin, regular, human (day -6, for 46 days);"/>
    <m/>
    <m/>
    <s v="Glucose measurement, blood (18.4 millimole per liter, day -11);"/>
    <m/>
    <s v="Type 1 diabetes mellitus (day 409)"/>
    <m/>
    <s v="insulin aspart, human (day 101, for 27 days); insulin aspart protamine, human (day 101, for 27 days); insulin aspart, human (day 164, for 72 days); insulin aspart protamine, human (day 164, for 72 days); insulin lispro protamine, human (day 245, for 105 d"/>
    <m/>
    <x v="0"/>
  </r>
  <r>
    <m/>
    <x v="62"/>
    <n v="27"/>
    <s v="Female"/>
    <s v="-76 days - 421 days"/>
    <s v="Office Visit"/>
    <s v="Type 1 diabetes mellitus (EHR);"/>
    <m/>
    <m/>
    <m/>
    <s v="insulin aspart, human (day -63, for 380 days); insulin isophane (day -63, for 182 days);"/>
    <m/>
    <m/>
    <s v="HbA1c measurement (DCCT aligned) (8.6 percent, day -12); HbA1c measurement (DCCT aligned) (71 millimole per mole, day -12);"/>
    <m/>
    <m/>
    <m/>
    <s v="insulin glargine (day 109, for 0 days); insulin glargine (day 141, for 27 days); insulin glargine (day 207, for 0 days); insulin glargine (day 245, for 25 days); insulin aspart, human (day 354, for 69 days); insulin glargine (day 354, for 0 days);"/>
    <m/>
    <x v="0"/>
  </r>
  <r>
    <m/>
    <x v="63"/>
    <n v="63"/>
    <s v="Female"/>
    <s v="-946 days - 477 days"/>
    <s v="Office Visit"/>
    <s v="Type 1 diabetes mellitus (EHR);"/>
    <s v="Bilateral cataracts (day -896); Diabetes mellitus (day -919)"/>
    <m/>
    <m/>
    <s v="insulin isophane (day -490, for 54 days); insulin isophane (day -362, for 68 days); insulin isophane (day -247, for 27 days); insulin isophane (day -163, for 27 days);"/>
    <m/>
    <m/>
    <m/>
    <m/>
    <m/>
    <m/>
    <s v="insulin isophane (day 47, for 82 days); insulin isophane (day 246, for 27 days); insulin isophane (day 335, for 7 days); insulin isophane (day 415, for 87 days);"/>
    <m/>
    <x v="0"/>
  </r>
  <r>
    <m/>
    <x v="64"/>
    <n v="31"/>
    <s v="Male"/>
    <s v="-2528 days - 653 days"/>
    <s v="Office Visit"/>
    <s v="Type 1 diabetes mellitus (EHR);"/>
    <m/>
    <m/>
    <m/>
    <m/>
    <m/>
    <m/>
    <s v="HbA1c measurement (DCCT aligned) (89 millimole per mole, abnormal - high, day 14); Glucose measurement, blood (19.6 millimole per liter, day 14); Glucose measurement, blood (20.9 millimole per liter, abnormal - high, day 14); Glucose measurement, blood (d"/>
    <m/>
    <m/>
    <m/>
    <s v="insulin detemir (day 14, for 35 days); insulin aspart, human (day 19, for 27 days); metformin (day 22, for 27 days); insulin aspart, human (day 90, for 0 days); insulin degludec (day 90, for 0 days); insulin degludec (day 131, for 0 days); insulin aspart,"/>
    <m/>
    <x v="0"/>
  </r>
  <r>
    <m/>
    <x v="65"/>
    <n v="68"/>
    <s v="Female"/>
    <s v="-36 days - 1386 days"/>
    <s v="Office Visit"/>
    <s v="Type 1 diabetes mellitus (EHR);"/>
    <s v="Ketoacidosis (day -35)"/>
    <m/>
    <m/>
    <m/>
    <m/>
    <m/>
    <m/>
    <s v="Ketoacidosis (day -35)"/>
    <s v="Disorder of macula due to diabetes mellitus (day 879); Disorder of nervous system due to diabetes mellitus (day 125); Peripheral vascular disorder due to diabetes mellitus (day 125)"/>
    <m/>
    <s v="insulin aspart, human (day 0, for 29 days); insulin glargine (day 65, for 51 days); insulin aspart, human (day 65, for 51 days); insulin aspart, human (day 174, for 27 days); insulin glargine (day 174, for 27 days); insulin glargine (day 250, for 27 days)"/>
    <m/>
    <x v="1"/>
  </r>
  <r>
    <m/>
    <x v="66"/>
    <n v="4"/>
    <s v="Female"/>
    <s v="-1405 days - 5656 days"/>
    <s v="Office Visit"/>
    <s v="Type 1 diabetes mellitus (EHR);"/>
    <m/>
    <m/>
    <m/>
    <m/>
    <m/>
    <m/>
    <s v="HbA1c measurement (DCCT aligned) (9.7 , day -1);"/>
    <m/>
    <s v="Ketoacidosis due to type 1 diabetes mellitus (day 4718)"/>
    <m/>
    <s v="insulin, regular, human (day 2, for 28 days); insulin isophane (day 2, for 28 days); insulin lispro (day 58, for 27 days); insulin isophane (day 75, for 27 days); insulin, regular, human (day 75, for 27 days); insulin, regular, human (day 191, for 133 day"/>
    <m/>
    <x v="0"/>
  </r>
  <r>
    <m/>
    <x v="67"/>
    <n v="48"/>
    <s v="Female"/>
    <s v="-6 days - 554 days"/>
    <s v="Office Visit-&gt;Office Visit"/>
    <s v="Type 1 diabetes mellitus (EHR); Type 1 diabetes mellitus (EHR);"/>
    <m/>
    <m/>
    <m/>
    <m/>
    <m/>
    <m/>
    <s v="HbA1c measurement (DCCT aligned) (63 millimole per mole, day 30);"/>
    <m/>
    <s v="Type 1 diabetes mellitus (day 161, 196, 275, 336, 497)"/>
    <m/>
    <s v="insulin aspart, human (day 6, for 0 days); insulin degludec (day 6, for 0 days); insulin aspart, human (day 75, for 0 days); insulin degludec (day 75, for 0 days); insulin degludec (day 142, for 0 days); insulin aspart, human (day 142, for 0 days); insuli"/>
    <m/>
    <x v="0"/>
  </r>
  <r>
    <m/>
    <x v="68"/>
    <n v="41"/>
    <s v="Female"/>
    <s v="-2335 days - 2494 days"/>
    <s v="Office Visit"/>
    <s v="Type 1 diabetes mellitus (EHR);"/>
    <s v="Family history of diabetes mellitus (day -2328)"/>
    <m/>
    <m/>
    <m/>
    <m/>
    <m/>
    <m/>
    <m/>
    <m/>
    <m/>
    <s v="insulin lispro (day 0, for 0 days); insulin lispro (day 53, for 0 days); metformin (day 53, for 104 days); insulin lispro (day 102, for 0 days); metformin (day 223, for 55 days); insulin lispro (day 223, for 19 days); insulin lispro (day 311, for 0 days);"/>
    <m/>
    <x v="0"/>
  </r>
  <r>
    <m/>
    <x v="69"/>
    <n v="56"/>
    <s v="Male"/>
    <s v="-1133 days - 5348 days"/>
    <s v="Office Visit-&gt;Office Visit"/>
    <s v="Type 1 diabetes mellitus (EHR);"/>
    <s v="Diabetes mellitus (day -1125); Type 2 diabetes mellitus (day -1125, -726)"/>
    <m/>
    <s v="Neuropathy due to diabetes mellitus (day -169); Retinopathy due to diabetes mellitus (day -978, -414)"/>
    <s v="metformin (day -1125, for 817 days); glyburide (day -1125, for 232 days); glyburide (day -847, for 342 days); metformin (day -260, for 1353 days); acarbose (day -85, for 845 days);"/>
    <m/>
    <m/>
    <s v="HbA1c measurement (DCCT aligned) (10.2 percent, abnormal - high, day -11); Glucose measurement, blood (12.3 millimole per liter, day -11);"/>
    <m/>
    <s v="Disorder of right macula due to diabetes mellitus (day 4250); Neuropathy due to diabetes mellitus (day 532, 3377); Nonproliferative retinopathy of left eye due to diabetes mellitus (day 3762); Nonproliferative retinopathy of right eye due to diabetes mell"/>
    <m/>
    <s v="insulin isophane (day 0, for 42 days); insulin isophane (day 94, for 67 days); insulin isophane (day 204, for 258 days); insulin isophane (day 497, for 590 days); acarbose (day 806, for 91 days); acarbose (day 933, for 162 days); metformin (day 1136, for "/>
    <m/>
    <x v="0"/>
  </r>
  <r>
    <m/>
    <x v="70"/>
    <n v="39"/>
    <s v="Male"/>
    <s v="-25 days - 235 days"/>
    <s v="Office Visit"/>
    <s v="Type 1 diabetes mellitus (EHR);"/>
    <s v="Diabetes mellitus (day -3); Family history of diabetes mellitus (day -3)"/>
    <m/>
    <m/>
    <s v="insulin aspart, human (day -10, for 28 days); insulin glargine (day -10, for 55 days);"/>
    <m/>
    <m/>
    <s v="Urine screening for glucose (day -14); Urine screening for glucose (day -11); Serum fasting glucose measurement (11.5 millimole per liter, abnormal - high, day -6);"/>
    <s v="Diabetes mellitus (day -3)"/>
    <m/>
    <m/>
    <s v="insulin glargine (day 147, for 27 days);"/>
    <m/>
    <x v="1"/>
  </r>
  <r>
    <m/>
    <x v="71"/>
    <n v="21"/>
    <s v="Female"/>
    <s v="-166 days - 589 days"/>
    <s v="Office Visit-&gt;Office Visit"/>
    <s v="Type 1 diabetes mellitus (EHR);"/>
    <m/>
    <m/>
    <m/>
    <m/>
    <m/>
    <m/>
    <m/>
    <m/>
    <s v="Type 1 diabetes mellitus (day 243)"/>
    <m/>
    <s v="insulin detemir (day 370, for 37 days); insulin lispro (day 425, for 0 days); insulin detemir (day 474, for 27 days); insulin lispro (day 474, for 0 days); insulin lispro (day 565, for 27 days);"/>
    <m/>
    <x v="0"/>
  </r>
  <r>
    <m/>
    <x v="72"/>
    <n v="29"/>
    <s v="Male"/>
    <s v="-3 days - 1341 days"/>
    <s v="Office Visit"/>
    <s v="Type 1 diabetes mellitus (EHR);"/>
    <m/>
    <m/>
    <m/>
    <m/>
    <m/>
    <m/>
    <m/>
    <s v="Nonproliferative retinopathy due to diabetes mellitus (day 17)"/>
    <s v="Disorder of left macula due to diabetes mellitus (day 1212); Disorder of right macula due to diabetes mellitus (day 291, 1212); Nonproliferative retinopathy due to diabetes mellitus (day 17, 540); Nonproliferative retinopathy of left eye due to diabetes m"/>
    <m/>
    <s v="insulin aspart, human (day 0, for 0 days); insulin glargine (day 0, for 0 days); insulin aspart, human (day 78, for 0 days); insulin glargine (day 78, for 0 days); insulin aspart, human (day 133, for 0 days); insulin aspart, human (day 231, for 0 days); i"/>
    <m/>
    <x v="1"/>
  </r>
  <r>
    <m/>
    <x v="73"/>
    <n v="72"/>
    <s v="Male"/>
    <s v="-3744 days - 696 days"/>
    <s v="Office Visit"/>
    <s v="Type 1 diabetes mellitus (EHR);"/>
    <s v="Cataract (day -543); Diabetes mellitus (day -3729, -3675, -3640, -3605, -3479, -3256); Family history of diabetes mellitus (day -3736, -158); Type 2 diabetes mellitus (day -3736)"/>
    <m/>
    <s v="Disorder of macula due to diabetes mellitus (day -2651); Neuropathy due to diabetes mellitus (day -3729); Preproliferative retinopathy due to diabetes mellitus (day -543)"/>
    <s v="glipizide (day -3729, for 83 days); metformin (day -3729, for 81 days); glimepiride (day -3675, for 509 days); insulin isophane (day -3632, for 123 days); metformin (day -3606, for 440 days); insulin isophane (day -3442, for 27 days); insulin isophane (da"/>
    <m/>
    <m/>
    <m/>
    <m/>
    <m/>
    <m/>
    <s v="insulin detemir (day 36, for 27 days); insulin glargine (day 57, for 0 days); insulin glargine (day 93, for 81 days); insulin glargine (day 205, for 28 days); insulin glargine (day 266, for 297 days); insulin glargine (day 596, for 82 days);"/>
    <m/>
    <x v="0"/>
  </r>
  <r>
    <m/>
    <x v="74"/>
    <n v="2"/>
    <s v="Male"/>
    <s v="-630 days - 2283 days"/>
    <s v="Office Visit"/>
    <s v="Type 1 diabetes mellitus (EHR);"/>
    <m/>
    <m/>
    <m/>
    <m/>
    <m/>
    <m/>
    <s v="HbA1c measurement (DCCT aligned) (70 millimole per mole, day 27);"/>
    <m/>
    <m/>
    <m/>
    <s v="insulin detemir (day 12, for 0 days); insulin aspart, human (day 12, for 1 days); insulin detemir (day 55, for 0 days); insulin aspart, human (day 55, for 1 days); insulin aspart, human (day 97, for 1 days); insulin detemir (day 97, for 0 days); insulin a"/>
    <m/>
    <x v="0"/>
  </r>
  <r>
    <m/>
    <x v="75"/>
    <n v="31"/>
    <s v="Male"/>
    <s v="-85 days - 2316 days"/>
    <s v="Office Visit-&gt;Office Visit"/>
    <s v="Type 1 diabetes mellitus (EHR);"/>
    <m/>
    <m/>
    <m/>
    <s v="insulin glargine (day -36, for 0 days); insulin aspart, human (day -36, for 0 days);"/>
    <m/>
    <m/>
    <m/>
    <m/>
    <s v="Proliferative retinopathy of left eye due to diabetes mellitus (day 1343); Retinopathy due to type 1 diabetes mellitus (day 1496); Type 1 diabetes mellitus (day 750)"/>
    <m/>
    <s v="insulin aspart, human (day 17, for 0 days); insulin glargine (day 17, for 0 days); insulin aspart, human (day 80, for 0 days); insulin glargine (day 80, for 0 days); insulin glargine (day 182, for 0 days); insulin aspart, human (day 182, for 0 days); insu"/>
    <m/>
    <x v="0"/>
  </r>
  <r>
    <m/>
    <x v="76"/>
    <n v="21"/>
    <s v="Male"/>
    <s v="-1 days - 115 days"/>
    <s v="Office Visit"/>
    <s v="Type 1 diabetes mellitus (EHR);"/>
    <m/>
    <m/>
    <m/>
    <m/>
    <m/>
    <m/>
    <m/>
    <m/>
    <m/>
    <m/>
    <s v="insulin aspart, human (day 0, for 123 days);"/>
    <m/>
    <x v="0"/>
  </r>
  <r>
    <m/>
    <x v="77"/>
    <n v="39"/>
    <s v="Male"/>
    <s v="-11 days - 1130 days"/>
    <s v="Office Visit"/>
    <s v="Type 1 diabetes mellitus (EHR);"/>
    <m/>
    <m/>
    <m/>
    <m/>
    <m/>
    <m/>
    <m/>
    <m/>
    <s v="Diabetic ketoacidosis (day 741)"/>
    <m/>
    <s v="insulin aspart, human (day 35, for 763 days); insulin glargine (day 780, for 0 days); insulin glargine (day 848, for 0 days); insulin aspart, human (day 848, for 0 days); insulin aspart, human (day 911, for 0 days); insulin glargine (day 911, for 0 days);"/>
    <m/>
    <x v="0"/>
  </r>
  <r>
    <m/>
    <x v="78"/>
    <n v="60"/>
    <s v="Male"/>
    <s v="-42 days - 4337 days"/>
    <s v="Office Visit"/>
    <s v="Type 1 diabetes mellitus (EHR);"/>
    <s v="Diabetes mellitus (day -38)"/>
    <m/>
    <m/>
    <s v="insulin glargine (day -10, for 82 days); insulin lispro (day -10, for 108 days);"/>
    <m/>
    <m/>
    <s v="Glucose measurement, blood (4.8 millimole per liter, day -7); HbA1c measurement (DCCT aligned) (8.8 percent, day -7);"/>
    <s v="Diabetes mellitus (day -38)"/>
    <s v="Disorder of macula due to diabetes mellitus (day 1708, 3890); Nonproliferative retinopathy due to diabetes mellitus (day 1782, 2755)"/>
    <m/>
    <s v="insulin lispro (day 137, for 65 days); insulin glargine (day 137, for 65 days); insulin lispro (day 255, for 360 days); insulin glargine (day 326, for 27 days); insulin glargine (day 457, for 77 days); insulin lispro (day 651, for 349 days); insulin glarg"/>
    <m/>
    <x v="1"/>
  </r>
  <r>
    <m/>
    <x v="79"/>
    <n v="24"/>
    <s v="Male"/>
    <s v="-26 days - 456 days"/>
    <s v="Office Visit-&gt;Office Visit"/>
    <s v="Type 1 diabetes mellitus (EHR);"/>
    <m/>
    <m/>
    <m/>
    <m/>
    <m/>
    <m/>
    <m/>
    <m/>
    <s v="Type 1 diabetes mellitus (day 100)"/>
    <m/>
    <s v="insulin glargine (day 4, for 52 days); insulin aspart, human (day 4, for 52 days); insulin aspart, human (day 189, for 0 days); insulin glargine (day 189, for 0 days); insulin glargine (day 309, for 0 days); insulin aspart, human (day 309, for 0 days); in"/>
    <m/>
    <x v="0"/>
  </r>
  <r>
    <m/>
    <x v="80"/>
    <n v="3"/>
    <s v="Female"/>
    <s v="-71 days - 860 days"/>
    <s v="Office Visit"/>
    <s v="Type 1 diabetes mellitus (EHR);"/>
    <m/>
    <m/>
    <m/>
    <m/>
    <m/>
    <m/>
    <m/>
    <m/>
    <m/>
    <m/>
    <s v="insulin, regular, human (day 0, for 27 days); insulin isophane (day 0, for 27 days); insulin, regular, human (day 64, for 172 days); insulin isophane (day 64, for 172 days); insulin aspart, human (day 211, for 27 days); insulin, regular, human (day 316, f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n v="7810823"/>
    <n v="53"/>
    <s v="Female"/>
    <s v="-2979 days - 4196 days"/>
    <s v="Office Visit-&gt;Office Visit"/>
    <s v="10g monofilament sensation L foot normal (EHR); 10g monofilament sensation R foot normal (EHR); All pulses present in left foot (EHR); All pulses present in left lower limb (EHR); All pulses present in right foot (EHR); All pulses present in right lower l"/>
    <m/>
    <m/>
    <s v="Proliferative retinopathy due to diabetes mellitus (day -458); Severe nonproliferative retinopathy due to diabetes mellitus (day -2234)"/>
    <s v="insulin isophane (day -2864, for 55 days); insulin, regular, human (day -2864, for 55 days); insulin, regular, human (day -2775, for 149 days); insulin isophane (day -2775, for 149 days); insulin, regular, human (day -2568, for 55 days); insulin isophane "/>
    <m/>
    <m/>
    <s v="HbA1c measurement (DCCT aligned) (82 millimole per mole, day 0);"/>
    <m/>
    <s v="Nonproliferative retinopathy of left eye due to diabetes mellitus (day 818, 1161); Nonproliferative retinopathy of right eye due to diabetes mellitus (day 182, 818); Preproliferative retinopathy of left eye due to diabetes mellitus (day 1651); Proliferati"/>
    <m/>
    <s v="insulin isophane (day 61, for 27 days); insulin, regular, human (day 61, for 55 days); insulin isophane (day 151, for 27 days); insulin, regular, human (day 151, for 55 days); insulin isophane (day 221, for 69 days); insulin, regular, human (day 263, for "/>
    <m/>
  </r>
  <r>
    <x v="0"/>
    <n v="2352010389"/>
    <n v="20"/>
    <s v="Male"/>
    <s v="-85 days - 166 days"/>
    <m/>
    <s v="Acquired deviated nasal septum (EHR); All pulses present in left lower limb (EHR); All pulses present in right lower limb (EHR); Blood pressure finding (EHR); Finding of foot region (EHR); Normal tactile sensation (EHR); Temporomandibular joint disorder ("/>
    <s v="Family history of diabetes mellitus (day -85)"/>
    <m/>
    <s v="Type 1 diabetes mellitus (day -69)"/>
    <m/>
    <m/>
    <m/>
    <s v="Glucose measurement, blood (6.4 millimole per liter, abnormal - high, day -17); HbA1c measurement (DCCT aligned) (58 millimole per mole, day -17);"/>
    <m/>
    <m/>
    <m/>
    <s v="insulin aspart, human (day 89, for 11 days); insulin glargine (day 89, for 27 days);"/>
    <m/>
  </r>
  <r>
    <x v="0"/>
    <n v="244010017"/>
    <n v="17"/>
    <s v="Female"/>
    <s v="-2281 days - 4538 days"/>
    <m/>
    <s v="Acute upper respiratory infection (EHR); Acute upper respiratory infection (EHR); Type 1 diabetes mellitus (EHR); Type 1 diabetes mellitus (EHR);"/>
    <m/>
    <m/>
    <s v="Type 1 diabetes mellitus (day -38)"/>
    <s v="insulin, regular, human (day -32, for 408 days); insulin lispro (day -32, for 27 days); insulin isophane (day -32, for 408 days);"/>
    <m/>
    <m/>
    <m/>
    <m/>
    <s v="Ketoacidotic coma due to type 1 diabetes mellitus (day 1871); Type 1 diabetes mellitus (day 66)"/>
    <m/>
    <s v="insulin lispro (day 125, for 27 days); insulin, regular, human (day 413, for 107 days); insulin isophane (day 413, for 107 days); insulin lispro (day 447, for 27 days); insulin isophane (day 583, for 27 days); insulin, regular, human (day 583, for 27 days"/>
    <m/>
  </r>
  <r>
    <x v="0"/>
    <n v="5359010662"/>
    <n v="51"/>
    <s v="Male"/>
    <s v="-2 days - 854 days"/>
    <s v="Office Visit"/>
    <s v="Alcohol dependence (EHR); Alcoholic cirrhosis (EHR); Asthma (EHR); Epilepsy (EHR); Glaucoma (EHR); Retinal detachment (EHR); Traumatic or nontraumatic brain injury (EHR); Type 1 diabetes mellitus (EHR);"/>
    <m/>
    <m/>
    <m/>
    <m/>
    <m/>
    <m/>
    <s v="HbA1c measurement (DCCT aligned) (84 millimole per mole, abnormal - high, day 14);"/>
    <m/>
    <m/>
    <m/>
    <s v="insulin isophane (day 0, for 627 days); insulin, regular, human (day 0, for 627 days); insulin, regular, human (day 742, for 0 days); insulin isophane (day 742, for 0 days); insulin detemir (day 742, for 0 days); insulin, regular, human (day 783, for 0 da"/>
    <m/>
  </r>
  <r>
    <x v="0"/>
    <n v="261610479"/>
    <n v="39"/>
    <s v="Female"/>
    <s v="-4686 days - 3219 days"/>
    <m/>
    <s v="All pulses present in left lower limb (EHR); All pulses present in right lower limb (EHR); Blood pressure finding (EHR); Type 1 diabetes mellitus (EHR);"/>
    <s v="Diabetes mellitus (day -4670, -4635, -4228, -4130, -3731, -2970, -1745, -576, -499, -430, -317)"/>
    <m/>
    <s v="Type 1 diabetes mellitus (day -476)"/>
    <s v="insulin isophane (day -4565, for 3234 days); insulin, regular, human (day -4565, for 77 days); insulin, regular, human (day -4419, for 393 days); insulin, regular, human (day -3965, for 29 days); insulin, regular, human (day -3878, for 2350 days); metform"/>
    <m/>
    <m/>
    <s v="HbA1c measurement (DCCT aligned) (7.7 percent, day 0);"/>
    <m/>
    <m/>
    <m/>
    <s v="insulin aspart, human (day 53, for 30 days); insulin aspart, human (day 115, for 0 days); insulin aspart, human (day 151, for 0 days); insulin aspart, human (day 196, for 0 days); insulin aspart, human (day 245, for 0 days); insulin aspart, human (day 276"/>
    <m/>
  </r>
  <r>
    <x v="1"/>
    <n v="378410775"/>
    <n v="34"/>
    <s v="Male"/>
    <s v="-274 days - 8161 days"/>
    <m/>
    <s v="All pulses present in left lower limb (EHR); All pulses present in right lower limb (EHR); Type 1 diabetes mellitus (EHR);"/>
    <s v="Essential hypertension (day -69)"/>
    <m/>
    <s v="Type 1 diabetes mellitus (day -48)"/>
    <s v="insulin, regular, human (day -207, for 291 days); insulin isophane (day -207, for 291 days);"/>
    <m/>
    <m/>
    <s v="HbA1c measurement (DCCT aligned) (0 , day -28); HbA1c measurement (DCCT aligned) (7.8 , day -28);"/>
    <s v="Essential hypertension (day -69)"/>
    <s v="Disorder of left macula due to diabetes mellitus (day 3108, 7617, 7703); Disorder of right macula due to diabetes mellitus (day 7617, 7703); Nonproliferative retinopathy due to diabetes mellitus (day 371); Nonproliferative retinopathy of left eye due to d"/>
    <m/>
    <s v="insulin, regular, human (day 115, for 146 days); insulin isophane (day 115, for 146 days); insulin isophane (day 296, for 53 days); insulin, regular, human (day 296, for 53 days); insulin, regular, human (day 382, for 368 days); insulin isophane (day 382,"/>
    <m/>
  </r>
  <r>
    <x v="0"/>
    <n v="1502010397"/>
    <n v="16"/>
    <s v="Male"/>
    <s v="-2646 days - 911 days"/>
    <m/>
    <s v="All pulses present in left lower limb (EHR); All pulses present in right lower limb (EHR); Blood pressure finding (EHR); Type 1 diabetes mellitus (EHR);"/>
    <m/>
    <m/>
    <s v="Type 1 diabetes mellitus (day -677, -630)"/>
    <s v="insulin aspart, human (day -676, for 1586 days); insulin isophane (day -676, for 44 days); insulin, regular, human (day -676, for 44 days); insulin aspart protamine, human (day -645, for 1150 days); insulin detemir (day -104, for 23 days); insulin detemir"/>
    <m/>
    <m/>
    <m/>
    <m/>
    <m/>
    <m/>
    <s v="insulin detemir (day 55, for 30 days); insulin detemir (day 140, for 0 days); insulin detemir (day 232, for 0 days); insulin detemir (day 315, for 30 days); insulin glargine (day 414, for 28 days); metformin (day 414, for 29 days); metformin (day 478, for"/>
    <m/>
  </r>
  <r>
    <x v="0"/>
    <n v="2353710622"/>
    <n v="18"/>
    <s v="Female"/>
    <s v="-2093 days - 237 days"/>
    <m/>
    <s v="All pulses present in left lower limb (EHR); All pulses present in right lower limb (EHR); Blood pressure finding (EHR); Type 1 diabetes mellitus (EHR);"/>
    <s v="Candidiasis (day -160)"/>
    <m/>
    <s v="Type 1 diabetes mellitus (day -435)"/>
    <s v="insulin glargine (day -435, for 13 days); insulin aspart, human (day -435, for 13 days); insulin glargine (day -380, for 23 days); insulin aspart, human (day -380, for 86 days); insulin glargine (day -294, for 0 days); insulin aspart, human (day -247, for"/>
    <m/>
    <m/>
    <s v="HbA1c measurement (DCCT aligned) (86 millimole per mole, day -7);"/>
    <m/>
    <m/>
    <m/>
    <s v="insulin aspart, human (day 34, for 0 days); insulin degludec (day 34, for 0 days); insulin aspart, human (day 78, for 0 days); insulin aspart, human (day 126, for 0 days); insulin degludec (day 126, for 0 days); insulin degludec (day 202, for 0 days); ins"/>
    <m/>
  </r>
  <r>
    <x v="0"/>
    <n v="1045410614"/>
    <n v="40"/>
    <s v="Female"/>
    <s v="-14 days - 5874 days"/>
    <s v="Office Visit"/>
    <s v="Allergic reaction to drug (EHR); Type 1 diabetes mellitus (EHR);"/>
    <m/>
    <m/>
    <m/>
    <m/>
    <m/>
    <m/>
    <m/>
    <m/>
    <s v="Disorder of nervous system due to diabetes mellitus (day 3240, 5340)"/>
    <m/>
    <s v="insulin, regular, human (day 50, for 29 days); insulin isophane (day 50, for 29 days); insulin, regular, human (day 178, for 29 days); insulin isophane (day 178, for 29 days); insulin, regular, human (day 246, for 29 days); insulin isophane (day 246, for "/>
    <m/>
  </r>
  <r>
    <x v="1"/>
    <n v="4803410866"/>
    <n v="20"/>
    <s v="Female"/>
    <s v="-12 days - 83 days"/>
    <s v="Office Visit"/>
    <s v="Asthma (EHR); Obesity (EHR); Type 1 diabetes mellitus (EHR);"/>
    <m/>
    <m/>
    <m/>
    <m/>
    <m/>
    <m/>
    <m/>
    <s v="Obesity (day 0)"/>
    <m/>
    <m/>
    <s v="insulin aspart, human (day 0, for 55 days); insulin glargine (day 0, for 0 days); insulin glargine (day 70, for 0 days);"/>
    <m/>
  </r>
  <r>
    <x v="0"/>
    <n v="384210994"/>
    <n v="30"/>
    <s v="Male"/>
    <s v="-7106 days - 903 days"/>
    <s v="Office Visit"/>
    <s v="Asymptomatic periapical periodontitis (EHR); Dental caries (EHR); Type 1 diabetes mellitus (EHR);"/>
    <s v="Cyst of pancreas (day -5967, -4488, -3139)"/>
    <m/>
    <m/>
    <m/>
    <m/>
    <m/>
    <m/>
    <m/>
    <m/>
    <m/>
    <s v="insulin glargine (day 8, for 178 days); insulin aspart, human (day 8, for 178 days); insulin aspart, human (day 218, for 243 days); insulin glargine (day 218, for 243 days); insulin aspart, human (day 543, for 28 days); insulin glargine (day 543, for 28 d"/>
    <m/>
  </r>
  <r>
    <x v="1"/>
    <n v="77110497"/>
    <n v="26"/>
    <s v="Male"/>
    <s v="-3834 days - 107 days"/>
    <m/>
    <s v="Atopic conjunctivitis (EHR); Type 1 diabetes mellitus (EHR);"/>
    <s v="Diabetes mellitus (day -2101, -1801, -576); Diabetic - good control (day -2085, -1779, -1289, -1107, -771)"/>
    <m/>
    <s v="Retinopathy due to diabetes mellitus (day -341); Type 1 diabetes mellitus (day -2008, -1304)"/>
    <s v="insulin, regular, human (day -2095, for 35 days); insulin isophane (day -2095, for 35 days); insulin, regular, human (day -2024, for 29 days); insulin isophane (day -2024, for 29 days); insulin, regular, human (day -1954, for 29 days); insulin isophane (d"/>
    <m/>
    <m/>
    <m/>
    <m/>
    <m/>
    <m/>
    <m/>
    <m/>
  </r>
  <r>
    <x v="0"/>
    <n v="35210409"/>
    <n v="29"/>
    <s v="Male"/>
    <s v="-2078 days - 851 days"/>
    <m/>
    <s v="Blood pressure finding (EHR); Type 1 diabetes mellitus (EHR);"/>
    <s v="Diabetes mellitus (day -1829, -1186, -286)"/>
    <m/>
    <s v="Type 1 diabetes mellitus (day -972)"/>
    <s v="insulin, regular, human (day -2052, for 98 days); insulin isophane (day -1996, for 42 days); insulin isophane (day -1878, for 632 days); insulin, regular, human (day -1878, for 156 days); insulin lispro (day -1707, for 353 days); insulin lispro (day -1323"/>
    <m/>
    <m/>
    <m/>
    <m/>
    <s v="Type 1 diabetes mellitus (day 624, 704)"/>
    <m/>
    <s v="insulin lispro (day 25, for 27 days); insulin lispro (day 104, for 67 days); insulin glargine (day 180, for 57 days); insulin lispro (day 210, for 27 days); insulin glargine (day 277, for 154 days); insulin lispro (day 343, for 27 days); insulin lispro (d"/>
    <m/>
  </r>
  <r>
    <x v="0"/>
    <n v="153910595"/>
    <n v="62"/>
    <s v="Male"/>
    <s v="-1716 days - 479 days"/>
    <m/>
    <s v="Blood pressure finding (EHR); Finding of vibration sense (EHR); Pulse present in left dorsalis pedis artery (EHR); Pulse present in left posterior tibial artery (EHR); Pulse present in right dorsalis pedis artery (EHR); Pulse present in right posterior ti"/>
    <s v="Diabetes mellitus (day -778, -455, -372); Essential hypertension (day -1008); Insulin treated type 2 diabetes mellitus (day -778); Type 2 diabetes mellitus (day -372)"/>
    <m/>
    <s v="Type 1 diabetes mellitus (day -778)"/>
    <s v="insulin isophane (day -35, for 312 days);"/>
    <m/>
    <m/>
    <s v="Glucose measurement, blood (14.8 , day -9); HbA1c measurement (DCCT aligned) (5.8 , day -9); Glucose measurement, blood (14.8 , day 0); HbA1c measurement (DCCT aligned) (5.8 , day 0); Urine screening for glucose (day 0);"/>
    <m/>
    <s v="Type 1 diabetes mellitus (day 228)"/>
    <m/>
    <s v="insulin isophane (day 322, for 144 days);"/>
    <m/>
  </r>
  <r>
    <x v="0"/>
    <n v="274210173"/>
    <n v="77"/>
    <s v="Female"/>
    <s v="-357 days - 765 days"/>
    <m/>
    <s v="Blood pressure finding (EHR); Type 1 diabetes mellitus (EHR);"/>
    <s v="Diabetes mellitus (day -91)"/>
    <m/>
    <s v="Type 1 diabetes mellitus (day -91)"/>
    <s v="insulin, regular, human (day -91, for 163 days); insulin isophane (day -91, for 163 days);"/>
    <m/>
    <m/>
    <m/>
    <m/>
    <m/>
    <m/>
    <s v="insulin isophane (day 164, for 44 days); insulin, regular, human (day 164, for 44 days); insulin isophane (day 282, for 27 days); insulin, regular, human (day 282, for 27 days); insulin isophane (day 357, for 27 days); insulin, regular, human (day 357, fo"/>
    <m/>
  </r>
  <r>
    <x v="0"/>
    <n v="436610288"/>
    <n v="67"/>
    <s v="Female"/>
    <s v="-5268 days - 480 days"/>
    <m/>
    <s v="Blood pressure finding (EHR); Type 1 diabetes mellitus (EHR);"/>
    <s v="Diabetes mellitus (day -4682, -4472, -4000, -3916, -2986); Family history of diabetes mellitus (day -3923); Type 2 diabetes mellitus (day -5140, -4197, -4063, -3309, -2993)"/>
    <m/>
    <s v="Autonomic neuropathy due to diabetes mellitus (day -3779); Disorder of nervous system due to diabetes mellitus (day -3552, -3281, -3090); Neuropathy due to diabetes mellitus (day -4609); Type 1 diabetes mellitus (day -2979, -88)"/>
    <s v="metformin (day -5250, for 1522 days); insulin isophane (day -5241, for 2196 days); acarbose (day -5236, for 1728 days); pioglitazone (day -4000, for 27 days); pioglitazone (day -3916, for 184 days); insulin glargine (day -3902, for 37 days); metformin (da"/>
    <m/>
    <m/>
    <s v="HbA1c measurement (DCCT aligned) (34 millimole per mole, normal, day -7);"/>
    <m/>
    <m/>
    <m/>
    <s v="insulin isophane (day 323, for 27 days); insulin isophane (day 385, for 112 days);"/>
    <m/>
  </r>
  <r>
    <x v="1"/>
    <n v="503810366"/>
    <n v="72"/>
    <s v="Male"/>
    <s v="-5496 days - 1202 days"/>
    <s v="Office Visit"/>
    <s v="Blood pressure finding (EHR); Diabetes mellitus (EHR); Type 1 diabetes mellitus (EHR);"/>
    <s v="Acute pancreatitis (day -38); Essential hypertension (day -1177, -830, -674)"/>
    <m/>
    <m/>
    <m/>
    <m/>
    <m/>
    <m/>
    <s v="Acute pancreatitis (day -38); Diabetes mellitus (day 0)"/>
    <m/>
    <m/>
    <s v="insulin aspart, human (day 33, for 60 days); insulin aspart protamine, human (day 33, for 60 days); insulin glargine (day 125, for 98 days); insulin glargine (day 279, for 27 days); insulin glargine (day 369, for 67 days); insulin glargine (day 510, for 2"/>
    <m/>
  </r>
  <r>
    <x v="0"/>
    <n v="559910689"/>
    <n v="34"/>
    <s v="Male"/>
    <s v="-1186 days - 4197 days"/>
    <s v="Office Visit-&gt;Office Visit"/>
    <s v="Blood pressure finding (EHR); Type 1 diabetes mellitus (EHR);"/>
    <s v="Diabetes mellitus (day -350)"/>
    <m/>
    <m/>
    <s v="insulin, regular, human (day -1108, for 27 days); insulin, regular, human (day -1043, for 27 days); insulin, regular, human (day -892, for 85 days); insulin, regular, human (day -599, for 27 days); insulin, regular, human (day -487, for 27 days); insulin,"/>
    <m/>
    <m/>
    <s v="HbA1c measurement (DCCT aligned) (8.4 , day 0);"/>
    <m/>
    <s v="Diabetic hand syndrome (day 882, 958); Nonproliferative retinopathy due to diabetes mellitus (day 376); Retinopathy due to diabetes mellitus (day 3657, 4043); Type 1 diabetes mellitus (day 950, 1137)"/>
    <m/>
    <s v="insulin, regular, human (day 21, for 27 days); insulin, regular, human (day 112, for 27 days); insulin, regular, human (day 207, for 27 days); insulin, regular, human (day 341, for 27 days); insulin, regular, human (day 416, for 27 days); insulin, regular"/>
    <m/>
  </r>
  <r>
    <x v="0"/>
    <n v="644210241"/>
    <n v="66"/>
    <s v="Male"/>
    <s v="-4926 days - 262 days"/>
    <s v="Office Visit"/>
    <s v="Blood pressure finding (EHR); Type 1 diabetes mellitus (EHR);"/>
    <s v="Diabetes mellitus (day -2589, -469); Essential hypertension (day -155); Type 2 diabetes mellitus (day -2589)"/>
    <m/>
    <s v="Nonproliferative retinopathy due to diabetes mellitus (day -173)"/>
    <s v="glyburide (day -1513, for 111 days);"/>
    <m/>
    <m/>
    <m/>
    <m/>
    <m/>
    <m/>
    <s v="insulin isophane (day 0, for 27 days); insulin, regular, human (day 0, for 27 days); insulin isophane (day 80, for 27 days); insulin, regular, human (day 80, for 27 days); insulin isophane (day 142, for 27 days); insulin, regular, human (day 142, for 27 d"/>
    <m/>
  </r>
  <r>
    <x v="0"/>
    <n v="812210207"/>
    <n v="38"/>
    <s v="Female"/>
    <s v="-85 days - 4750 days"/>
    <s v="Office Visit"/>
    <s v="Blood pressure finding (EHR); Type 1 diabetes mellitus (EHR);"/>
    <m/>
    <m/>
    <m/>
    <m/>
    <m/>
    <m/>
    <s v="Serum fasting glucose measurement (15 millimole per liter, day 12);"/>
    <m/>
    <m/>
    <m/>
    <s v="insulin isophane (day 0, for 76 days); insulin, regular, human (day 0, for 76 days); insulin, regular, human (day 113, for 133 days); insulin isophane (day 113, for 133 days); insulin, regular, human (day 289, for 27 days); insulin isophane (day 289, for "/>
    <m/>
  </r>
  <r>
    <x v="0"/>
    <n v="925810409"/>
    <n v="31"/>
    <s v="Female"/>
    <s v="-2831 days - 1990 days"/>
    <m/>
    <s v="Blood pressure finding (EHR); Blood pressure finding (EHR); Blood pressure finding (EHR); Blood pressure finding (EHR); Blood pressure finding (EHR); Blood pressure finding (EHR); Blood pressure finding (EHR); Type 1 diabetes mellitus (EHR); Type 1 diabet"/>
    <s v="Candidiasis (day -2698, -2159); Candidiasis of vagina (day -2699); Diabetes mellitus (day -1851, -1669, -1368, -1168)"/>
    <m/>
    <s v="Retinopathy due to diabetes mellitus (day -2272, -1424, -866, -140); Type 1 diabetes mellitus (day -853, -140, -28)"/>
    <s v="insulin isophane (day -2791, for 230 days); insulin, regular, human (day -2791, for 230 days); insulin isophane (day -2527, for 142 days); insulin, regular, human (day -2527, for 142 days); insulin, regular, human (day -2337, for 54 days); insulin isophan"/>
    <m/>
    <m/>
    <s v="HbA1c measurement (DCCT aligned) (8.3 percent, day 14); Glucose measurement, blood (9.2 millimole per liter, day 14); HbA1c measurement (DCCT aligned) (8.8 percent, day 28);"/>
    <m/>
    <s v="Retinopathy due to diabetes mellitus (day 794, 849, 1682, 1745); Type 1 diabetes mellitus (day 80, 303, 337, 458, 591, 819, 917, 962, 997, 1193, 1234)"/>
    <m/>
    <s v="insulin aspart, human (day 17, for 27 days); insulin glargine (day 211, for 27 days); insulin aspart, human (day 211, for 27 days); insulin aspart, human (day 309, for 27 days); insulin glargine (day 309, for 27 days); insulin glargine (day 367, for 425 d"/>
    <m/>
  </r>
  <r>
    <x v="0"/>
    <n v="1054010302"/>
    <n v="33"/>
    <s v="Female"/>
    <s v="-4416 days - 710 days"/>
    <m/>
    <s v="Blood pressure finding (EHR); Blood pressure finding (EHR); Blood pressure finding (EHR); Blood pressure finding (EHR); Type 1 diabetes mellitus (EHR); Type 1 diabetes mellitus (EHR); Type 1 diabetes mellitus (EHR); Type 1 diabetes mellitus (EHR);"/>
    <s v="Candidiasis (day -3653, -3374, -2751, -2520, -2473, -1795, -1539, -1274, -1177, -335); Candidiasis of vagina (day -3047, -2179, -2123, -1896); Diabetes mellitus (day -4042, -3471, -3110, -2960, -2737, -2544, -2330, -2270, -2226, -2192, -2044, -1974, -1647"/>
    <m/>
    <s v="Hypoglycemic coma due to type 1 diabetes mellitus (day -2197, -2158); Ketoacidosis due to type 1 diabetes mellitus (day -3038); Loss of hypoglycemic warning due to diabetes mellitus (day -836, -581); Proliferative retinopathy due to diabetes mellitus (day"/>
    <s v="insulin lispro (day -4396, for 29 days); insulin lispro (day -4336, for 29 days); insulin isophane (day -4336, for 29 days); insulin lispro (day -4251, for 29 days); insulin isophane (day -4251, for 29 days); insulin lispro (day -4129, for 29 days); insul"/>
    <m/>
    <m/>
    <s v="Serum fasting glucose measurement (3.4 millimole per liter, normal, day 0); HbA1c measurement (DCCT aligned) (83 millimole per mole, abnormal - high, day 0);"/>
    <m/>
    <s v="Proliferative retinopathy due to diabetes mellitus (day 639); Type 1 diabetes mellitus (day 40)"/>
    <m/>
    <s v="insulin lispro (day 77, for 0 days); insulin detemir (day 77, for 74 days); insulin lispro (day 124, for 0 days); insulin detemir (day 182, for 179 days); insulin lispro (day 182, for 0 days); insulin lispro (day 238, for 0 days); insulin lispro (day 295,"/>
    <m/>
  </r>
  <r>
    <x v="0"/>
    <n v="1525510677"/>
    <n v="39"/>
    <s v="Male"/>
    <s v="-2640 days - 6782 days"/>
    <m/>
    <s v="Blood pressure finding (EHR); Blood pressure finding (EHR); Blood pressure finding (EHR); Blood pressure finding (EHR); Type 1 diabetes mellitus (EHR); Type 1 diabetes mellitus (EHR); Type 1 diabetes mellitus (EHR); Type 1 diabetes mellitus (EHR);"/>
    <s v="Diabetes mellitus (day -980)"/>
    <m/>
    <s v="Type 1 diabetes mellitus (day -1184, -939)"/>
    <s v="insulin aspart protamine, human (day -966, for 152 days); insulin aspart, human (day -966, for 152 days); insulin aspart, human (day -771, for 0 days); insulin aspart protamine, human (day -771, for 0 days); insulin aspart protamine, human (day -715, for "/>
    <m/>
    <m/>
    <s v="Self-monitoring of blood glucose (day 0); Glucose measurement, blood (11.5 , day 0);"/>
    <m/>
    <s v="Disorder of left macula due to diabetes mellitus (day 5412); Disorder of macula due to diabetes mellitus (day 5340, 5412); Nonproliferative retinopathy due to diabetes mellitus (day 3952, 4402, 5340, 5412, 5643); Nonproliferative retinopathy of left eye d"/>
    <m/>
    <s v="insulin aspart protamine, human (day 5, for 0 days); insulin aspart, human (day 5, for 0 days); insulin aspart protamine, human (day 46, for 0 days); insulin aspart, human (day 46, for 0 days); insulin aspart protamine, human (day 110, for 0 days); insuli"/>
    <m/>
  </r>
  <r>
    <x v="0"/>
    <n v="1721910803"/>
    <n v="34"/>
    <s v="Male"/>
    <s v=" days -  days"/>
    <s v="Office Visit-&gt;Office Visit"/>
    <s v="Blood pressure finding (EHR); Blood pressure finding (EHR); Type 1 diabetes mellitus (EHR); Type 1 diabetes mellitus (EHR);"/>
    <m/>
    <m/>
    <m/>
    <m/>
    <m/>
    <m/>
    <m/>
    <m/>
    <m/>
    <m/>
    <s v="insulin detemir (day 10, for 1158 days); insulin aspart, human (day 10, for 2252 days); insulin degludec (day 1164, for 72 days); insulin degludec (day 1270, for 0 days); insulin degludec (day 1316, for 319 days); insulin degludec (day 1667, for 164 days)"/>
    <m/>
  </r>
  <r>
    <x v="0"/>
    <n v="1985010365"/>
    <n v="72"/>
    <s v="Male"/>
    <s v="-300 days - 1502 days"/>
    <s v="Office Visit-&gt;Office Visit"/>
    <s v="Blood pressure finding (EHR); Type 1 diabetes mellitus (EHR);"/>
    <m/>
    <m/>
    <m/>
    <s v="insulin isophane (day -289, for 142 days); insulin, regular, human (day -287, for 0 days); insulin, regular, human (day -217, for 172 days); insulin isophane (day -72, for 29 days); insulin, regular, human (day -12, for 191 days); insulin isophane (day -1"/>
    <m/>
    <m/>
    <s v="Glucose measurement, blood (12.7 millimole per liter, day -12);"/>
    <m/>
    <s v="Persistent microalbuminuria due to type 1 diabetes mellitus (day 1080); Type 1 diabetes mellitus (day 48, 517, 595)"/>
    <m/>
    <s v="insulin isophane (day 96, for 29 days); insulin, regular, human (day 211, for 82 days); insulin isophane (day 211, for 29 days); insulin, regular, human (day 327, for 792 days); insulin isophane (day 327, for 29 days); insulin isophane (day 418, for 101 d"/>
    <m/>
  </r>
  <r>
    <x v="0"/>
    <n v="2020510974"/>
    <n v="55"/>
    <s v="Male"/>
    <s v="-3204 days - 4530 days"/>
    <s v="Office Visit-&gt;Office Visit"/>
    <s v="Blood pressure finding (EHR); Type 1 diabetes mellitus (EHR);"/>
    <s v="Essential hypertension (day -3113); Hyperlipidemia (day -2840, -2667, -2030, -1952, -1862, -1077, -894, -230); Insulin treated type 2 diabetes mellitus (day -3204); Obesity (day -2484); Type 2 diabetes mellitus (day -3204, -2675, -2303, -2041, -824, -467)"/>
    <m/>
    <s v="Nonproliferative retinopathy due to diabetes mellitus (day -3070); Retinopathy due to diabetes mellitus (day -2484)"/>
    <s v="metformin (day -3178, for 56 days); insulin, regular, human (day -3143, for 206 days); insulin isophane (day -3143, for 206 days); metformin (day -3086, for 104 days); metformin (day -2945, for 89 days); insulin aspart, human (day -2939, for 4424 days); i"/>
    <m/>
    <m/>
    <m/>
    <m/>
    <s v="Type 1 diabetes mellitus (day 1198)"/>
    <m/>
    <s v="metformin (day 115, for 54 days); metformin (day 205, for 138 days); metformin (day 391, for 371 days); metformin (day 822, for 116 days); metformin (day 981, for 57 days); metformin (day 1127, for 27 days); metformin (day 1198, for 27 days); metformin (d"/>
    <m/>
  </r>
  <r>
    <x v="0"/>
    <n v="2520610627"/>
    <n v="44"/>
    <s v="Female"/>
    <s v=" days -  days"/>
    <s v="Office Visit-&gt;Office Visit"/>
    <s v="Blood pressure finding (EHR); Type 1 diabetes mellitus (EHR);"/>
    <m/>
    <m/>
    <m/>
    <m/>
    <m/>
    <m/>
    <m/>
    <m/>
    <s v="Retinopathy due to diabetes mellitus (day 188); Type 1 diabetes mellitus (day 539)"/>
    <m/>
    <s v="insulin aspart, human (day 82, for 0 days); insulin detemir (day 82, for 84 days); insulin aspart, human (day 367, for 44 days); insulin aspart, human (day 454, for 27 days); insulin detemir (day 454, for 27 days); insulin detemir (day 553, for 122 days);"/>
    <m/>
  </r>
  <r>
    <x v="0"/>
    <n v="3954810544"/>
    <n v="58"/>
    <s v="Male"/>
    <s v="-2017 days - 3651 days"/>
    <m/>
    <s v="Blood pressure finding (EHR); Finding of foot region (EHR); Type 1 diabetes mellitus (EHR);"/>
    <s v="Calculus of pancreas (day -1068); Diabetes mellitus (day -581); Type 2 diabetes mellitus (day -1919, -581)"/>
    <m/>
    <s v="Type 1 diabetes mellitus (day -581)"/>
    <s v="glipizide (day -1596, for 124 days); glipizide (day -1410, for 27 days); glipizide (day -1305, for 96 days); glipizide (day -1165, for 55 days); glipizide (day -1065, for 55 days); insulin isophane (day -1023, for 27 days); insulin, regular, human (day -9"/>
    <m/>
    <m/>
    <s v="HbA1c measurement (DCCT aligned) (7.3 percent, day 0);"/>
    <m/>
    <s v="Nonproliferative retinopathy due to diabetes mellitus (day 2692); Preproliferative retinopathy due to diabetes mellitus (day 3024); Retinopathy due to type 2 diabetes mellitus (day 2446)"/>
    <m/>
    <s v="insulin isophane (day 39, for 27 days); insulin lispro (day 39, for 27 days); insulin isophane (day 472, for 132 days); insulin lispro (day 528, for 76 days); insulin lispro (day 781, for 27 days); insulin isophane (day 781, for 27 days); insulin glargine"/>
    <m/>
  </r>
  <r>
    <x v="1"/>
    <n v="726710461"/>
    <n v="47"/>
    <s v="Male"/>
    <s v="-1428 days - 6734 days"/>
    <s v="Office Visit-&gt;Office Visit"/>
    <s v="Diabetes mellitus (EHR); Diabetes mellitus (EHR); Type 1 diabetes mellitus (EHR); Type 1 diabetes mellitus (EHR);"/>
    <s v="Diabetes mellitus (day -1047)"/>
    <m/>
    <m/>
    <s v="insulin, protamine zinc, beef (day -1422, for 27 days); insulin, protamine zinc, beef (day -1348, for 27 days); insulin, protamine zinc, beef (day -1264, for 27 days); insulin, protamine zinc, beef (day -1198, for 27 days); insulin, protamine zinc, beef ("/>
    <m/>
    <m/>
    <m/>
    <s v="Diabetes mellitus (day 0); Retinopathy due to diabetes mellitus (day 76)"/>
    <s v="Proliferative retinopathy due to diabetes mellitus (day 3989, 4187, 4898); Retinopathy due to diabetes mellitus (day 76); Type 1 diabetes mellitus (day 3836, 3995, 4195, 4797, 5033, 5098, 5546)"/>
    <m/>
    <s v="insulin, regular, human (day 315, for 460 days); insulin, regular, human (day 838, for 630 days); insulin, regular, human (day 1504, for 27 days); insulin isophane (day 1567, for 1167 days); insulin, regular, human (day 1567, for 1141 days); insulin, regu"/>
    <m/>
  </r>
  <r>
    <x v="1"/>
    <n v="833410289"/>
    <n v="24"/>
    <s v="Female"/>
    <s v="-2491 days - 4727 days"/>
    <s v="Office Visit-&gt;Office Visit"/>
    <s v="Diabetes mellitus (EHR); Type 1 diabetes mellitus (EHR);"/>
    <m/>
    <m/>
    <m/>
    <m/>
    <m/>
    <m/>
    <m/>
    <s v="Diabetes mellitus (day 0); Type 2 diabetes mellitus (day 1)"/>
    <s v="Diabetic ketoacidosis (day 2350, 2965, 3454, 3982); Retinopathy due to diabetes mellitus (day 3925); Type 1 diabetes mellitus (day 1627, 3035)"/>
    <m/>
    <s v="metformin (day 3, for 29 days); metformin (day 72, for 29 days); metformin (day 302, for 29 days); metformin (day 423, for 29 days); insulin, regular, human (day 436, for 27 days); insulin isophane (day 436, for 27 days); insulin isophane (day 519, for 27"/>
    <m/>
  </r>
  <r>
    <x v="1"/>
    <n v="971510284"/>
    <n v="60"/>
    <s v="Male"/>
    <s v="-350 days - 4511 days"/>
    <s v="Office Visit-&gt;Office Visit"/>
    <s v="Diabetes mellitus (EHR); Type 1 diabetes mellitus (EHR);"/>
    <m/>
    <m/>
    <m/>
    <m/>
    <m/>
    <m/>
    <m/>
    <s v="Diabetes mellitus (day 0)"/>
    <s v="Neuropathy due to diabetes mellitus (day 2914)"/>
    <m/>
    <s v="insulin, regular, human (day 989, for 27 days); insulin isophane (day 989, for 27 days); insulin isophane (day 1150, for 27 days); insulin, regular, human (day 1150, for 27 days); insulin isophane (day 1239, for 27 days); insulin, regular, human (day 1239"/>
    <m/>
  </r>
  <r>
    <x v="1"/>
    <n v="1094310233"/>
    <n v="4"/>
    <s v="Male"/>
    <s v="-1374 days - 6593 days"/>
    <s v="Office Visit-&gt;Office Visit"/>
    <s v="Diabetes mellitus (EHR); Type 1 diabetes mellitus (EHR);"/>
    <m/>
    <m/>
    <m/>
    <m/>
    <m/>
    <m/>
    <s v="Urine screening for glucose (day 0);"/>
    <s v="Diabetes mellitus (day 0)"/>
    <s v="Type 1 diabetes mellitus (day 4064)"/>
    <m/>
    <s v="insulin, regular, human (day 4, for 541 days); insulin isophane (day 4, for 541 days); insulin isophane (day 710, for 27 days); insulin, regular, human (day 710, for 27 days); insulin isophane (day 770, for 118 days); insulin, regular, human (day 770, for"/>
    <m/>
  </r>
  <r>
    <x v="1"/>
    <n v="38410333"/>
    <n v="33"/>
    <s v="Female"/>
    <s v="-157 days - 4631 days"/>
    <s v="Office Visit-&gt;Office Visit"/>
    <s v="Hyperlipidemia (EHR); Neuropathic arthropathy due to diabetes mellitus (EHR); Neuropathy due to diabetes mellitus (EHR); Retinopathy due to diabetes mellitus (EHR); Type 1 diabetes mellitus (EHR);"/>
    <m/>
    <m/>
    <m/>
    <s v="insulin isophane (day -153, for 398 days); insulin lispro (day -153, for 230 days);"/>
    <m/>
    <m/>
    <m/>
    <s v="Hyperlipidemia (day 0); Neuropathic arthropathy due to diabetes mellitus (day 0); Neuropathy due to diabetes mellitus (day 0); Retinopathy due to diabetes mellitus (day 0)"/>
    <s v="Mixed diabetic ulcer - foot (day 3620); Neuropathic arthropathy due to diabetes mellitus (day 320); Retinopathy due to diabetes mellitus (day 327); Type 1 diabetes mellitus (day 722)"/>
    <m/>
    <s v="metformin (day 112, for 3000 days); insulin lispro (day 126, for 119 days); insulin lispro (day 293, for 186 days); insulin isophane (day 340, for 139 days); insulin lispro (day 529, for 121 days); insulin glargine (day 529, for 121 days); insulin lispro "/>
    <m/>
  </r>
  <r>
    <x v="0"/>
    <n v="3525210465"/>
    <n v="56"/>
    <s v="Male"/>
    <s v="-3534 days - 923 days"/>
    <m/>
    <s v="Pain of knee region (EHR); Type 1 diabetes mellitus (EHR);"/>
    <m/>
    <m/>
    <s v="Type 1 diabetes mellitus (day -1266)"/>
    <s v="insulin, regular, human (day -1266, for 69 days); insulin isophane (day -1266, for 69 days); insulin isophane (day -883, for 27 days); insulin, regular, human (day -883, for 27 days); insulin isophane (day -758, for 27 days); insulin, regular, human (day "/>
    <m/>
    <m/>
    <m/>
    <m/>
    <m/>
    <m/>
    <s v="insulin, regular, human (day 103, for 27 days); insulin isophane (day 103, for 27 days); insulin, regular, human (day 187, for 27 days); insulin isophane (day 187, for 27 days); insulin isophane (day 264, for 57 days); insulin, regular, human (day 264, fo"/>
    <m/>
  </r>
  <r>
    <x v="0"/>
    <n v="2010394"/>
    <n v="33"/>
    <s v="Male"/>
    <s v="-1662 days - 3112 days"/>
    <s v="Office Visit-&gt;Office Visit"/>
    <s v="Type 1 diabetes mellitus (EHR); Type 1 diabetes mellitus (EHR);"/>
    <m/>
    <m/>
    <m/>
    <s v="insulin isophane (day -1654, for 27 days); insulin, regular, human (day -1654, for 27 days); insulin, regular, human (day -1581, for 161 days); insulin isophane (day -1581, for 163 days); insulin isophane (day -1366, for 84 days); insulin, regular, human "/>
    <m/>
    <m/>
    <m/>
    <m/>
    <s v="Disorder of eye due to type 1 diabetes mellitus (day 1141); Type 1 diabetes mellitus (day 105)"/>
    <m/>
    <s v="insulin isophane (day 78, for 88 days); insulin, regular, human (day 78, for 88 days); insulin, regular, human (day 212, for 27 days); insulin isophane (day 212, for 27 days); insulin, regular, human (day 279, for 257 days); insulin isophane (day 279, for"/>
    <m/>
  </r>
  <r>
    <x v="0"/>
    <n v="62910668"/>
    <n v="59"/>
    <s v="Male"/>
    <s v="-3237 days - 2951 days"/>
    <s v="Office Visit-&gt;Office Visit"/>
    <s v="Type 1 diabetes mellitus (EHR);"/>
    <s v="Essential hypertension (day -2509)"/>
    <m/>
    <m/>
    <m/>
    <m/>
    <m/>
    <s v="HbA1c measurement (DCCT aligned) (11 percent, day 0); HbA1c measurement (DCCT aligned) (97 millimole per mole, day 0);"/>
    <m/>
    <s v="Type 1 diabetes mellitus (day 392, 803)"/>
    <m/>
    <s v="insulin glargine (day 66, for 27 days); insulin aspart, human (day 66, for 27 days); insulin aspart, human (day 158, for 0 days); insulin glargine (day 180, for 0 days); insulin aspart, human (day 223, for 0 days); insulin aspart, human (day 279, for 0 da"/>
    <m/>
  </r>
  <r>
    <x v="0"/>
    <n v="75310568"/>
    <n v="54"/>
    <s v="Female"/>
    <s v="-871 days - 493 days"/>
    <s v="Office Visit"/>
    <s v="Type 1 diabetes mellitus (EHR);"/>
    <s v="Diabetes mellitus (day -222)"/>
    <m/>
    <s v="Skin ulcer due to diabetes mellitus (day -222)"/>
    <s v="metformin (day -639, for 439 days); insulin, regular, human (day -220, for 182 days);"/>
    <m/>
    <m/>
    <s v="HbA1c measurement (DCCT aligned) (0 , day 27);"/>
    <m/>
    <m/>
    <m/>
    <s v="metformin (day 2, for 68 days); insulin, regular, human (day 8, for 126 days); metformin (day 111, for 27 days); insulin, regular, human (day 219, for 274 days); insulin isophane (day 250, for 27 days); insulin isophane (day 393, for 27 days);"/>
    <m/>
  </r>
  <r>
    <x v="1"/>
    <n v="120310166"/>
    <n v="33"/>
    <s v="Female"/>
    <s v="-5336 days - 3561 days"/>
    <s v="Office Visit"/>
    <s v="Type 1 diabetes mellitus (EHR);"/>
    <s v="Diabetes mellitus (day -3540); Family history of diabetes mellitus (day -3214, -1877)"/>
    <m/>
    <s v="Disorder of right macula due to diabetes mellitus (day -484); Nonproliferative retinopathy due to diabetes mellitus (day -2041); Nonproliferative retinopathy of left eye due to diabetes mellitus (day -484); Nonproliferative retinopathy of right eye due to"/>
    <s v="insulin, regular, human (day -5335, for 122 days); insulin isophane (day -5333, for 95 days); insulin lispro (day -5214, for 1975 days); insulin isophane (day -5185, for 1666 days); insulin glargine (day -3540, for 299 days); insulin lispro (day -3106, fo"/>
    <m/>
    <m/>
    <m/>
    <s v="Disorder of right macula due to diabetes mellitus (day 20); Nonproliferative retinopathy of left eye due to diabetes mellitus (day 20); Nonproliferative retinopathy of right eye due to diabetes mellitus (day 20)"/>
    <s v="Disorder of right macula due to diabetes mellitus (day 20); Nonproliferative retinopathy of left eye due to diabetes mellitus (day 20, 601, 975, 1507, 1885, 2947, 3437); Nonproliferative retinopathy of right eye due to diabetes mellitus (day 20, 975, 1507"/>
    <m/>
    <s v="insulin lispro (day 38, for 4 days); insulin lispro (day 94, for 4 days); insulin detemir (day 94, for 0 days); insulin detemir (day 146, for 0 days); insulin lispro (day 146, for 4 days); insulin lispro (day 225, for 27 days); insulin detemir (day 248, f"/>
    <m/>
  </r>
  <r>
    <x v="0"/>
    <n v="319810053"/>
    <n v="13"/>
    <s v="Male"/>
    <s v="-1520 days - 2785 days"/>
    <s v="Office Visit-&gt;Office Visit"/>
    <s v="Type 1 diabetes mellitus (EHR); Type 1 diabetes mellitus (EHR);"/>
    <m/>
    <m/>
    <m/>
    <m/>
    <m/>
    <m/>
    <s v="Glucose measurement, blood (31.1 millimole per liter, abnormal - high, day 0); Urine screening for glucose (day 0); HbA1c measurement (DCCT aligned) (10.1 international unit per liter, abnormal - high, day 3);"/>
    <m/>
    <s v="Diabetic ketoacidosis (day 2134); Type 1 diabetes mellitus (day 1666)"/>
    <m/>
    <s v="insulin isophane (day 4, for 628 days); insulin, regular, human (day 4, for 628 days); insulin isophane (day 665, for 583 days); insulin, regular, human (day 665, for 583 days); insulin aspart, human (day 1159, for 61 days); insulin glargine (day 1159, fo"/>
    <m/>
  </r>
  <r>
    <x v="0"/>
    <n v="341210634"/>
    <n v="17"/>
    <s v="Male"/>
    <s v="-187 days - 8514 days"/>
    <s v="Office Visit"/>
    <s v="Type 1 diabetes mellitus (EHR);"/>
    <m/>
    <m/>
    <m/>
    <s v="insulin, regular, human (day -179, for 62 days); insulin, regular, human (day -84, for 27 days);"/>
    <m/>
    <m/>
    <m/>
    <m/>
    <s v="Nonproliferative retinopathy of left eye due to diabetes mellitus (day 7427, 7827); Nonproliferative retinopathy of right eye due to diabetes mellitus (day 7434, 7827)"/>
    <m/>
    <s v="insulin, regular, human (day 0, for 27 days); insulin, regular, human (day 66, for 27 days); insulin, regular, human (day 128, for 181 days); insulin isophane (day 240, for 27 days); insulin, regular, human (day 351, for 139 days); insulin, regular, human"/>
    <m/>
  </r>
  <r>
    <x v="0"/>
    <n v="362110891"/>
    <n v="40"/>
    <s v="Male"/>
    <s v="-1928 days - 7690 days"/>
    <m/>
    <s v="Type 1 diabetes mellitus (EHR);"/>
    <s v="Type 2 diabetes mellitus without complication (day -1775, -666)"/>
    <m/>
    <s v="Type 1 diabetes mellitus without complication (day -1787)"/>
    <s v="insulin, regular, human (day -1775, for 29 days); insulin isophane (day -1676, for 84 days); insulin isophane (day -1547, for 192 days); insulin isophane (day -1313, for 125 days); insulin isophane (day -1116, for 433 days); insulin isophane (day -640, fo"/>
    <m/>
    <m/>
    <m/>
    <m/>
    <s v="Nonproliferative retinopathy of left eye due to diabetes mellitus (day 5528, 6958); Nonproliferative retinopathy of right eye due to diabetes mellitus (day 5528, 6958); Proliferative retinopathy due to diabetes mellitus (day 2254); Type 1 diabetes mellitu"/>
    <m/>
    <s v="insulin isophane (day 766, for 561 days); insulin isophane (day 1368, for 437 days); insulin isophane (day 1852, for 111 days); insulin isophane (day 2014, for 224 days); insulin isophane (day 2275, for 55 days); insulin isophane (day 2391, for 120 days);"/>
    <m/>
  </r>
  <r>
    <x v="1"/>
    <n v="370010311"/>
    <n v="79"/>
    <s v="Male"/>
    <s v="-549 days - 605 days"/>
    <s v="Office Visit"/>
    <s v="Type 1 diabetes mellitus (EHR);"/>
    <m/>
    <m/>
    <m/>
    <s v="insulin, regular, human (day -505, for 1058 days); insulin isophane (day -505, for 1058 days);"/>
    <m/>
    <m/>
    <m/>
    <m/>
    <m/>
    <m/>
    <m/>
    <m/>
  </r>
  <r>
    <x v="0"/>
    <n v="461910966"/>
    <n v="31"/>
    <s v="Male"/>
    <s v="-10893 days - 2316 days"/>
    <s v="Office Visit"/>
    <s v="Type 1 diabetes mellitus (EHR);"/>
    <m/>
    <m/>
    <m/>
    <m/>
    <m/>
    <m/>
    <m/>
    <m/>
    <m/>
    <m/>
    <s v="insulin lispro protamine, human (day 0, for 0 days); insulin lispro (day 0, for 0 days); insulin degludec (day 52, for 28 days); insulin aspart, human (day 52, for 28 days); insulin aspart, human (day 111, for 0 days); insulin degludec (day 111, for 0 day"/>
    <m/>
  </r>
  <r>
    <x v="1"/>
    <n v="515410701"/>
    <n v="58"/>
    <s v="Female"/>
    <s v="-59 days - 6072 days"/>
    <s v="Office Visit"/>
    <s v="Type 1 diabetes mellitus (EHR); Type 2 diabetes mellitus (EHR);"/>
    <m/>
    <m/>
    <m/>
    <s v="insulin isophane (day -32, for 335 days);"/>
    <m/>
    <m/>
    <m/>
    <s v="Type 2 diabetes mellitus (day 0)"/>
    <s v="Nonproliferative retinopathy of right eye due to diabetes mellitus (day 2733); Preproliferative retinopathy of left eye due to diabetes mellitus (day 2847); Preproliferative retinopathy of right eye due to diabetes mellitus (day 2847)"/>
    <m/>
    <s v="insulin isophane (day 335, for 340 days); insulin glargine (day 662, for 43 days); insulin aspart protamine, human (day 690, for 1248 days); insulin aspart, human (day 690, for 1248 days); metformin (day 721, for 761 days); metformin (day 1516, for 409 da"/>
    <m/>
  </r>
  <r>
    <x v="1"/>
    <n v="603810956"/>
    <n v="18"/>
    <s v="Female"/>
    <s v="-1360 days - 114 days"/>
    <s v="Office Visit"/>
    <s v="Type 1 diabetes mellitus (EHR);"/>
    <m/>
    <m/>
    <m/>
    <s v="insulin, regular, human (day -722, for 29 days); insulin isophane (day -722, for 27 days);"/>
    <m/>
    <m/>
    <m/>
    <m/>
    <m/>
    <m/>
    <m/>
    <m/>
  </r>
  <r>
    <x v="0"/>
    <n v="689210365"/>
    <n v="71"/>
    <s v="Male"/>
    <s v="-616 days - 4781 days"/>
    <s v="Office Visit-&gt;Office Visit"/>
    <s v="Type 1 diabetes mellitus (EHR); Type 1 diabetes mellitus (EHR);"/>
    <s v="Type 2 diabetes mellitus (day -275)"/>
    <m/>
    <m/>
    <s v="metformin (day -535, for 27 days); metformin (day -468, for 27 days); metformin (day -401, for 27 days); metformin (day -343, for 27 days); metformin (day -275, for 27 days); metformin (day -147, for 80 days); rosiglitazone (day -52, for 52 days); metform"/>
    <m/>
    <m/>
    <s v="Glucose measurement, blood (13.3 millimole per liter, abnormal - high, day -8); HbA1c measurement (DCCT aligned) (10.6 percent, day -7);"/>
    <m/>
    <s v="Neuropathic arthropathy due to diabetes mellitus (day 2801); Retinopathy due to diabetes mellitus (day 1747, 2909); Type 1 diabetes mellitus (day 116, 174)"/>
    <m/>
    <s v="insulin isophane (day 0, for 29 days); insulin, regular, human (day 25, for 27 days); insulin, regular, human (day 118, for 83 days); insulin isophane (day 121, for 29 days); insulin isophane (day 263, for 29 days); insulin isophane (day 370, for 29 days)"/>
    <m/>
  </r>
  <r>
    <x v="0"/>
    <n v="726310128"/>
    <n v="17"/>
    <s v="Female"/>
    <s v="-2750 days - 3041 days"/>
    <s v="Office Visit"/>
    <s v="Type 1 diabetes mellitus (EHR);"/>
    <m/>
    <m/>
    <m/>
    <m/>
    <m/>
    <m/>
    <s v="Glucose measurement, blood (33.2 millimole per liter, day 0);"/>
    <m/>
    <m/>
    <m/>
    <s v="insulin detemir (day 7, for 0 days); insulin aspart, human (day 7, for 0 days); insulin aspart, human (day 41, for 0 days); insulin detemir (day 41, for 0 days); insulin detemir (day 154, for 22 days); insulin aspart, human (day 154, for 22 days); insulin"/>
    <m/>
  </r>
  <r>
    <x v="0"/>
    <n v="740710960"/>
    <n v="12"/>
    <s v="Female"/>
    <s v="-4109 days - 3892 days"/>
    <s v="Office Visit"/>
    <s v="Type 1 diabetes mellitus (EHR);"/>
    <m/>
    <m/>
    <m/>
    <m/>
    <m/>
    <m/>
    <s v="HbA1c measurement (DCCT aligned) (102 millimole per mole, day 0);"/>
    <m/>
    <s v="Nonproliferative retinopathy of left eye due to diabetes mellitus (day 1909, 2798, 3771)"/>
    <m/>
    <s v="insulin detemir (day 7, for 29 days); insulin aspart, human (day 7, for 27 days); insulin glargine (day 64, for 0 days); insulin aspart, human (day 75, for 27 days); insulin glargine (day 103, for 0 days); insulin aspart, human (day 135, for 548 days); in"/>
    <m/>
  </r>
  <r>
    <x v="0"/>
    <n v="741610129"/>
    <n v="24"/>
    <s v="Male"/>
    <s v="-269 days - 3335 days"/>
    <s v="Office Visit"/>
    <s v="Type 1 diabetes mellitus (EHR);"/>
    <s v="Diabetes mellitus (day -269)"/>
    <m/>
    <m/>
    <s v="insulin lispro (day -259, for 922 days); insulin lispro protamine, human (day -259, for 922 days);"/>
    <m/>
    <m/>
    <s v="HbA1c measurement (DCCT aligned) (14 percent, abnormal - high, day -17);"/>
    <m/>
    <s v="Ketoacidosis due to type 1 diabetes mellitus (day 372); Proliferative retinopathy of right eye with diabetes mellitus (day 1331)"/>
    <m/>
    <s v="insulin lispro (day 714, for 363 days); insulin lispro protamine, human (day 714, for 363 days); insulin lispro protamine, human (day 1127, for 95 days); insulin lispro (day 1127, for 95 days); insulin lispro (day 1266, for 342 days); insulin lispro prota"/>
    <m/>
  </r>
  <r>
    <x v="1"/>
    <n v="795410971"/>
    <n v="2"/>
    <s v="Female"/>
    <s v="-721 days - 3490 days"/>
    <s v="Office Visit"/>
    <s v="Type 1 diabetes mellitus (EHR);"/>
    <m/>
    <m/>
    <m/>
    <m/>
    <m/>
    <m/>
    <s v="HbA1c measurement (DCCT aligned) (31 millimole per mole, day 0);"/>
    <m/>
    <m/>
    <m/>
    <m/>
    <m/>
  </r>
  <r>
    <x v="0"/>
    <n v="818210372"/>
    <n v="57"/>
    <s v="Male"/>
    <s v="-844 days - 6331 days"/>
    <s v="Office Visit"/>
    <s v="Type 1 diabetes mellitus (EHR);"/>
    <m/>
    <m/>
    <m/>
    <s v="insulin isophane (day -690, for 24 days); insulin, regular, pork (day -690, for 24 days); insulin, regular, pork (day -598, for 24 days); insulin isophane (day -598, for 24 days); insulin, regular, human (day -514, for 27 days); insulin, regular, pork (da"/>
    <m/>
    <m/>
    <s v="Urine dipstick for glucose (Nil, day 1);"/>
    <m/>
    <m/>
    <m/>
    <s v="insulin isophane (day 15, for 24 days); insulin, regular, pork (day 15, for 24 days); insulin, regular, pork (day 127, for 24 days); insulin isophane (day 127, for 24 days); insulin, regular, pork (day 282, for 24 days); insulin isophane (day 282, for 24 "/>
    <m/>
  </r>
  <r>
    <x v="0"/>
    <n v="826210737"/>
    <n v="3"/>
    <s v="Female"/>
    <s v="-1045 days - 1862 days"/>
    <s v="Office Visit"/>
    <s v="Type 1 diabetes mellitus (EHR);"/>
    <m/>
    <m/>
    <m/>
    <m/>
    <m/>
    <m/>
    <m/>
    <m/>
    <m/>
    <m/>
    <s v="insulin, regular, human (day 53, for 2 days); insulin isophane (day 53, for 2 days); insulin aspart, human (day 83, for 27 days); insulin detemir (day 159, for 41 days); insulin aspart, human (day 173, for 27 days); insulin, regular, human (day 246, for 2"/>
    <m/>
  </r>
  <r>
    <x v="1"/>
    <n v="870510178"/>
    <n v="60"/>
    <s v="Male"/>
    <s v="-109 days - 9765 days"/>
    <s v="Office Visit-&gt;Office Visit"/>
    <s v="Type 1 diabetes mellitus (EHR);"/>
    <m/>
    <m/>
    <m/>
    <m/>
    <m/>
    <m/>
    <m/>
    <s v="Diabetes mellitus (day 74)"/>
    <s v="Nonproliferative retinopathy of right eye due to diabetes mellitus (day 9193); Type 1 diabetes mellitus (day 2279, 8866)"/>
    <m/>
    <s v="insulin, regular, human (day 74, for 29 days); insulin isophane (day 74, for 27 days); insulin isophane (day 176, for 27 days); insulin, regular, human (day 176, for 29 days); insulin, regular, human (day 312, for 29 days); insulin isophane (day 312, for "/>
    <m/>
  </r>
  <r>
    <x v="0"/>
    <n v="888710791"/>
    <n v="12"/>
    <s v="Female"/>
    <s v="-4300 days - 2667 days"/>
    <s v="Office Visit-&gt;Office Visit"/>
    <s v="Type 1 diabetes mellitus (EHR);"/>
    <m/>
    <m/>
    <m/>
    <m/>
    <m/>
    <m/>
    <s v="HbA1c measurement (DCCT aligned) (100 millimole per mole, day 0);"/>
    <m/>
    <m/>
    <m/>
    <s v="insulin detemir (day 2, for 27 days); insulin aspart, human (day 2, for 27 days); insulin aspart, human (day 61, for 815 days); insulin detemir (day 96, for 450 days); insulin detemir (day 610, for 266 days); insulin aspart, human (day 929, for 1742 days)"/>
    <m/>
  </r>
  <r>
    <x v="1"/>
    <n v="932610840"/>
    <n v="13"/>
    <s v="Female"/>
    <s v="-2926 days - 3431 days"/>
    <s v="Office Visit"/>
    <s v="Type 1 diabetes mellitus (EHR);"/>
    <s v="Steroid-induced diabetes (day -64)"/>
    <m/>
    <m/>
    <m/>
    <m/>
    <m/>
    <s v="HbA1c measurement (DCCT aligned) (30 millimole per mole, day 21);"/>
    <s v="Steroid-induced diabetes (day -64)"/>
    <m/>
    <m/>
    <s v="insulin detemir (day 0, for 27 days); insulin aspart, human (day 0, for 27 days);"/>
    <m/>
  </r>
  <r>
    <x v="0"/>
    <n v="954410764"/>
    <n v="19"/>
    <s v="Female"/>
    <s v="-3400 days - 4459 days"/>
    <s v="Office Visit-&gt;Office Visit"/>
    <s v="Type 1 diabetes mellitus (EHR);"/>
    <m/>
    <m/>
    <m/>
    <m/>
    <m/>
    <m/>
    <s v="Glucose measurement, blood (14.3 millimole per liter, abnormal - high, day -1); HbA1c measurement (DCCT aligned) (14.8 percent, abnormal - high, day -1); HbA1c measurement (DCCT aligned) (0 , day -1); HbA1c measurement (DCCT aligned) (10.6 , day 1);"/>
    <m/>
    <m/>
    <m/>
    <s v="insulin detemir (day 0, for 64 days); insulin aspart, human (day 0, for 37 days); insulin aspart, human (day 70, for 14 days); insulin aspart, human (day 128, for 21 days); insulin detemir (day 128, for 273 days); insulin aspart, human (day 181, for 0 day"/>
    <m/>
  </r>
  <r>
    <x v="0"/>
    <n v="959010761"/>
    <n v="9"/>
    <s v="Female"/>
    <s v="-3233 days - 5447 days"/>
    <s v="Office Visit"/>
    <s v="Type 1 diabetes mellitus (EHR);"/>
    <s v="Candidiasis of mouth (day -2750)"/>
    <m/>
    <m/>
    <m/>
    <m/>
    <m/>
    <m/>
    <m/>
    <s v="Ketoacidosis due to type 1 diabetes mellitus (day 3149); Nonproliferative retinopathy of left eye due to diabetes mellitus (day 1262, 1968, 4751, 4852); Nonproliferative retinopathy of right eye due to diabetes mellitus (day 4299, 4751, 4852)"/>
    <m/>
    <s v="insulin isophane (day 5, for 97 days); insulin aspart, human (day 5, for 0 days); insulin, regular, human (day 5, for 97 days); insulin detemir (day 5, for 21 days); insulin detemir (day 92, for 28 days); insulin aspart, human (day 93, for 27 days); insul"/>
    <m/>
  </r>
  <r>
    <x v="1"/>
    <n v="1084310679"/>
    <n v="14"/>
    <s v="Male"/>
    <s v="-3543 days - 3451 days"/>
    <s v="Office Visit"/>
    <s v="Type 1 diabetes mellitus (EHR);"/>
    <m/>
    <m/>
    <m/>
    <m/>
    <m/>
    <m/>
    <m/>
    <s v="Subcapsular cataract (day 48)"/>
    <m/>
    <m/>
    <s v="insulin detemir (day 13, for 0 days); insulin aspart, human (day 13, for 3428 days); insulin detemir (day 67, for 0 days); insulin detemir (day 132, for 0 days); insulin detemir (day 173, for 0 days); insulin detemir (day 237, for 0 days); insulin detemir"/>
    <m/>
  </r>
  <r>
    <x v="0"/>
    <n v="1084510775"/>
    <n v="14"/>
    <s v="Female"/>
    <s v="-810 days - 5711 days"/>
    <s v="Office Visit"/>
    <s v="Type 1 diabetes mellitus (EHR);"/>
    <s v="Diabetes mellitus (day -807)"/>
    <m/>
    <m/>
    <s v="insulin isophane (day -795, for 121 days); insulin, regular, human (day -795, for 121 days); insulin, regular, human (day -639, for 29 days); insulin isophane (day -639, for 29 days); insulin, regular, human (day -568, for 29 days); insulin isophane (day "/>
    <m/>
    <m/>
    <s v="HbA1c measurement (DCCT aligned) (9.5 , day -18);"/>
    <m/>
    <s v="Disorder of left macula due to diabetes mellitus (day 3076); Disorder of right macula due to diabetes mellitus (day 4175); Nonproliferative retinopathy of left eye due to diabetes mellitus (day 3076, 3245, 4175); Nonproliferative retinopathy of right eye "/>
    <m/>
    <s v="insulin, regular, human (day 3, for 29 days); insulin aspart, human (day 3, for 27 days); insulin isophane (day 3, for 29 days); insulin aspart, human (day 73, for 93 days); insulin isophane (day 73, for 95 days); insulin, regular, human (day 73, for 95 d"/>
    <m/>
  </r>
  <r>
    <x v="0"/>
    <n v="1086910999"/>
    <n v="27"/>
    <s v="Male"/>
    <s v="-6397 days - 478 days"/>
    <s v="Office Visit"/>
    <s v="Type 1 diabetes mellitus (EHR);"/>
    <m/>
    <m/>
    <m/>
    <m/>
    <m/>
    <m/>
    <s v="Glucose measurement, blood (17.5 millimole per liter, abnormal - high, day -2); HbA1c measurement (DCCT aligned) (127 millimole per mole, abnormal - high, day -2); HbA1c measurement (DCCT aligned) (day -2); Glucose measurement, blood (day -2);"/>
    <m/>
    <m/>
    <m/>
    <s v="insulin aspart, human (day 7, for 20 days); insulin degludec (day 7, for 20 days); insulin aspart, human (day 96, for 0 days); insulin degludec (day 96, for 0 days); insulin aspart, human (day 166, for 30 days); insulin degludec (day 195, for 0 days); ins"/>
    <m/>
  </r>
  <r>
    <x v="0"/>
    <n v="1377210629"/>
    <n v="50"/>
    <s v="Female"/>
    <s v="-364 days - 824 days"/>
    <s v="Office Visit"/>
    <s v="Type 1 diabetes mellitus (EHR);"/>
    <s v="Family history of diabetes mellitus (day -358)"/>
    <m/>
    <m/>
    <m/>
    <m/>
    <m/>
    <s v="Glucose measurement, blood (15 millimole per liter, day -9); HbA1c measurement (DCCT aligned) (10.9 percent, day 7);"/>
    <m/>
    <m/>
    <m/>
    <s v="insulin aspart, human (day 0, for 0 days); insulin aspart protamine, human (day 0, for 0 days); insulin aspart protamine, human (day 140, for 11 days); insulin aspart, human (day 140, for 11 days); insulin aspart, human (day 195, for 0 days); insulin aspa"/>
    <m/>
  </r>
  <r>
    <x v="0"/>
    <n v="1559910397"/>
    <n v="13"/>
    <s v="Male"/>
    <s v="-1271 days - 1814 days"/>
    <s v="Office Visit-&gt;Office Visit"/>
    <s v="Type 1 diabetes mellitus (EHR);"/>
    <m/>
    <m/>
    <m/>
    <s v="insulin aspart, human (day -6, for 27 days); insulin isophane (day -6, for 46 days); insulin, regular, human (day -6, for 46 days);"/>
    <m/>
    <m/>
    <s v="Glucose measurement, blood (18.4 millimole per liter, day -11);"/>
    <m/>
    <s v="Type 1 diabetes mellitus (day 409)"/>
    <m/>
    <s v="insulin aspart, human (day 101, for 27 days); insulin aspart protamine, human (day 101, for 27 days); insulin aspart, human (day 164, for 72 days); insulin aspart protamine, human (day 164, for 72 days); insulin lispro protamine, human (day 245, for 105 d"/>
    <m/>
  </r>
  <r>
    <x v="0"/>
    <n v="1602410226"/>
    <n v="27"/>
    <s v="Female"/>
    <s v="-76 days - 421 days"/>
    <s v="Office Visit"/>
    <s v="Type 1 diabetes mellitus (EHR);"/>
    <m/>
    <m/>
    <m/>
    <s v="insulin aspart, human (day -63, for 380 days); insulin isophane (day -63, for 182 days);"/>
    <m/>
    <m/>
    <s v="HbA1c measurement (DCCT aligned) (8.6 percent, day -12); HbA1c measurement (DCCT aligned) (71 millimole per mole, day -12);"/>
    <m/>
    <m/>
    <m/>
    <s v="insulin glargine (day 109, for 0 days); insulin glargine (day 141, for 27 days); insulin glargine (day 207, for 0 days); insulin glargine (day 245, for 25 days); insulin aspart, human (day 354, for 69 days); insulin glargine (day 354, for 0 days);"/>
    <m/>
  </r>
  <r>
    <x v="0"/>
    <n v="1620610573"/>
    <n v="63"/>
    <s v="Female"/>
    <s v="-946 days - 477 days"/>
    <s v="Office Visit"/>
    <s v="Type 1 diabetes mellitus (EHR);"/>
    <s v="Bilateral cataracts (day -896); Diabetes mellitus (day -919)"/>
    <m/>
    <m/>
    <s v="insulin isophane (day -490, for 54 days); insulin isophane (day -362, for 68 days); insulin isophane (day -247, for 27 days); insulin isophane (day -163, for 27 days);"/>
    <m/>
    <m/>
    <m/>
    <m/>
    <m/>
    <m/>
    <s v="insulin isophane (day 47, for 82 days); insulin isophane (day 246, for 27 days); insulin isophane (day 335, for 7 days); insulin isophane (day 415, for 87 days);"/>
    <m/>
  </r>
  <r>
    <x v="0"/>
    <n v="1675410922"/>
    <n v="31"/>
    <s v="Male"/>
    <s v="-2528 days - 653 days"/>
    <s v="Office Visit"/>
    <s v="Type 1 diabetes mellitus (EHR);"/>
    <m/>
    <m/>
    <m/>
    <m/>
    <m/>
    <m/>
    <s v="HbA1c measurement (DCCT aligned) (89 millimole per mole, abnormal - high, day 14); Glucose measurement, blood (19.6 millimole per liter, day 14); Glucose measurement, blood (20.9 millimole per liter, abnormal - high, day 14); Glucose measurement, blood (d"/>
    <m/>
    <m/>
    <m/>
    <s v="insulin detemir (day 14, for 35 days); insulin aspart, human (day 19, for 27 days); metformin (day 22, for 27 days); insulin aspart, human (day 90, for 0 days); insulin degludec (day 90, for 0 days); insulin degludec (day 131, for 0 days); insulin aspart,"/>
    <m/>
  </r>
  <r>
    <x v="1"/>
    <n v="1759410412"/>
    <n v="68"/>
    <s v="Female"/>
    <s v="-36 days - 1386 days"/>
    <s v="Office Visit"/>
    <s v="Type 1 diabetes mellitus (EHR);"/>
    <s v="Ketoacidosis (day -35)"/>
    <m/>
    <m/>
    <m/>
    <m/>
    <m/>
    <m/>
    <s v="Ketoacidosis (day -35)"/>
    <s v="Disorder of macula due to diabetes mellitus (day 879); Disorder of nervous system due to diabetes mellitus (day 125); Peripheral vascular disorder due to diabetes mellitus (day 125)"/>
    <m/>
    <s v="insulin aspart, human (day 0, for 29 days); insulin glargine (day 65, for 51 days); insulin aspart, human (day 65, for 51 days); insulin aspart, human (day 174, for 27 days); insulin glargine (day 174, for 27 days); insulin glargine (day 250, for 27 days)"/>
    <m/>
  </r>
  <r>
    <x v="0"/>
    <n v="1833510766"/>
    <n v="4"/>
    <s v="Female"/>
    <s v="-1405 days - 5656 days"/>
    <s v="Office Visit"/>
    <s v="Type 1 diabetes mellitus (EHR);"/>
    <m/>
    <m/>
    <m/>
    <m/>
    <m/>
    <m/>
    <s v="HbA1c measurement (DCCT aligned) (9.7 , day -1);"/>
    <m/>
    <s v="Ketoacidosis due to type 1 diabetes mellitus (day 4718)"/>
    <m/>
    <s v="insulin, regular, human (day 2, for 28 days); insulin isophane (day 2, for 28 days); insulin lispro (day 58, for 27 days); insulin isophane (day 75, for 27 days); insulin, regular, human (day 75, for 27 days); insulin, regular, human (day 191, for 133 day"/>
    <m/>
  </r>
  <r>
    <x v="0"/>
    <n v="2079410115"/>
    <n v="48"/>
    <s v="Female"/>
    <s v="-6 days - 554 days"/>
    <s v="Office Visit-&gt;Office Visit"/>
    <s v="Type 1 diabetes mellitus (EHR); Type 1 diabetes mellitus (EHR);"/>
    <m/>
    <m/>
    <m/>
    <m/>
    <m/>
    <m/>
    <s v="HbA1c measurement (DCCT aligned) (63 millimole per mole, day 30);"/>
    <m/>
    <s v="Type 1 diabetes mellitus (day 161, 196, 275, 336, 497)"/>
    <m/>
    <s v="insulin aspart, human (day 6, for 0 days); insulin degludec (day 6, for 0 days); insulin aspart, human (day 75, for 0 days); insulin degludec (day 75, for 0 days); insulin degludec (day 142, for 0 days); insulin aspart, human (day 142, for 0 days); insuli"/>
    <m/>
  </r>
  <r>
    <x v="0"/>
    <n v="2134710591"/>
    <n v="41"/>
    <s v="Female"/>
    <s v="-2335 days - 2494 days"/>
    <s v="Office Visit"/>
    <s v="Type 1 diabetes mellitus (EHR);"/>
    <s v="Family history of diabetes mellitus (day -2328)"/>
    <m/>
    <m/>
    <m/>
    <m/>
    <m/>
    <m/>
    <m/>
    <m/>
    <m/>
    <s v="insulin lispro (day 0, for 0 days); insulin lispro (day 53, for 0 days); metformin (day 53, for 104 days); insulin lispro (day 102, for 0 days); metformin (day 223, for 55 days); insulin lispro (day 223, for 19 days); insulin lispro (day 311, for 0 days);"/>
    <m/>
  </r>
  <r>
    <x v="0"/>
    <n v="2335110194"/>
    <n v="56"/>
    <s v="Male"/>
    <s v="-1133 days - 5348 days"/>
    <s v="Office Visit-&gt;Office Visit"/>
    <s v="Type 1 diabetes mellitus (EHR);"/>
    <s v="Diabetes mellitus (day -1125); Type 2 diabetes mellitus (day -1125, -726)"/>
    <m/>
    <s v="Neuropathy due to diabetes mellitus (day -169); Retinopathy due to diabetes mellitus (day -978, -414)"/>
    <s v="metformin (day -1125, for 817 days); glyburide (day -1125, for 232 days); glyburide (day -847, for 342 days); metformin (day -260, for 1353 days); acarbose (day -85, for 845 days);"/>
    <m/>
    <m/>
    <s v="HbA1c measurement (DCCT aligned) (10.2 percent, abnormal - high, day -11); Glucose measurement, blood (12.3 millimole per liter, day -11);"/>
    <m/>
    <s v="Disorder of right macula due to diabetes mellitus (day 4250); Neuropathy due to diabetes mellitus (day 532, 3377); Nonproliferative retinopathy of left eye due to diabetes mellitus (day 3762); Nonproliferative retinopathy of right eye due to diabetes mell"/>
    <m/>
    <s v="insulin isophane (day 0, for 42 days); insulin isophane (day 94, for 67 days); insulin isophane (day 204, for 258 days); insulin isophane (day 497, for 590 days); acarbose (day 806, for 91 days); acarbose (day 933, for 162 days); metformin (day 1136, for "/>
    <m/>
  </r>
  <r>
    <x v="1"/>
    <n v="2482010040"/>
    <n v="39"/>
    <s v="Male"/>
    <s v="-25 days - 235 days"/>
    <s v="Office Visit"/>
    <s v="Type 1 diabetes mellitus (EHR);"/>
    <s v="Diabetes mellitus (day -3); Family history of diabetes mellitus (day -3)"/>
    <m/>
    <m/>
    <s v="insulin aspart, human (day -10, for 28 days); insulin glargine (day -10, for 55 days);"/>
    <m/>
    <m/>
    <s v="Urine screening for glucose (day -14); Urine screening for glucose (day -11); Serum fasting glucose measurement (11.5 millimole per liter, abnormal - high, day -6);"/>
    <s v="Diabetes mellitus (day -3)"/>
    <m/>
    <m/>
    <s v="insulin glargine (day 147, for 27 days);"/>
    <m/>
  </r>
  <r>
    <x v="0"/>
    <n v="2489610789"/>
    <n v="21"/>
    <s v="Female"/>
    <s v="-166 days - 589 days"/>
    <s v="Office Visit-&gt;Office Visit"/>
    <s v="Type 1 diabetes mellitus (EHR);"/>
    <m/>
    <m/>
    <m/>
    <m/>
    <m/>
    <m/>
    <m/>
    <m/>
    <s v="Type 1 diabetes mellitus (day 243)"/>
    <m/>
    <s v="insulin detemir (day 370, for 37 days); insulin lispro (day 425, for 0 days); insulin detemir (day 474, for 27 days); insulin lispro (day 474, for 0 days); insulin lispro (day 565, for 27 days);"/>
    <m/>
  </r>
  <r>
    <x v="1"/>
    <n v="2615910492"/>
    <n v="29"/>
    <s v="Male"/>
    <s v="-3 days - 1341 days"/>
    <s v="Office Visit"/>
    <s v="Type 1 diabetes mellitus (EHR);"/>
    <m/>
    <m/>
    <m/>
    <m/>
    <m/>
    <m/>
    <m/>
    <s v="Nonproliferative retinopathy due to diabetes mellitus (day 17)"/>
    <s v="Disorder of left macula due to diabetes mellitus (day 1212); Disorder of right macula due to diabetes mellitus (day 291, 1212); Nonproliferative retinopathy due to diabetes mellitus (day 17, 540); Nonproliferative retinopathy of left eye due to diabetes m"/>
    <m/>
    <s v="insulin aspart, human (day 0, for 0 days); insulin glargine (day 0, for 0 days); insulin aspart, human (day 78, for 0 days); insulin glargine (day 78, for 0 days); insulin aspart, human (day 133, for 0 days); insulin aspart, human (day 231, for 0 days); i"/>
    <m/>
  </r>
  <r>
    <x v="0"/>
    <n v="2723810058"/>
    <n v="72"/>
    <s v="Male"/>
    <s v="-3744 days - 696 days"/>
    <s v="Office Visit"/>
    <s v="Type 1 diabetes mellitus (EHR);"/>
    <s v="Cataract (day -543); Diabetes mellitus (day -3729, -3675, -3640, -3605, -3479, -3256); Family history of diabetes mellitus (day -3736, -158); Type 2 diabetes mellitus (day -3736)"/>
    <m/>
    <s v="Disorder of macula due to diabetes mellitus (day -2651); Neuropathy due to diabetes mellitus (day -3729); Preproliferative retinopathy due to diabetes mellitus (day -543)"/>
    <s v="glipizide (day -3729, for 83 days); metformin (day -3729, for 81 days); glimepiride (day -3675, for 509 days); insulin isophane (day -3632, for 123 days); metformin (day -3606, for 440 days); insulin isophane (day -3442, for 27 days); insulin isophane (da"/>
    <m/>
    <m/>
    <m/>
    <m/>
    <m/>
    <m/>
    <s v="insulin detemir (day 36, for 27 days); insulin glargine (day 57, for 0 days); insulin glargine (day 93, for 81 days); insulin glargine (day 205, for 28 days); insulin glargine (day 266, for 297 days); insulin glargine (day 596, for 82 days);"/>
    <m/>
  </r>
  <r>
    <x v="0"/>
    <n v="2850010979"/>
    <n v="2"/>
    <s v="Male"/>
    <s v="-630 days - 2283 days"/>
    <s v="Office Visit"/>
    <s v="Type 1 diabetes mellitus (EHR);"/>
    <m/>
    <m/>
    <m/>
    <m/>
    <m/>
    <m/>
    <s v="HbA1c measurement (DCCT aligned) (70 millimole per mole, day 27);"/>
    <m/>
    <m/>
    <m/>
    <s v="insulin detemir (day 12, for 0 days); insulin aspart, human (day 12, for 1 days); insulin detemir (day 55, for 0 days); insulin aspart, human (day 55, for 1 days); insulin aspart, human (day 97, for 1 days); insulin detemir (day 97, for 0 days); insulin a"/>
    <m/>
  </r>
  <r>
    <x v="0"/>
    <n v="2946010373"/>
    <n v="31"/>
    <s v="Male"/>
    <s v="-85 days - 2316 days"/>
    <s v="Office Visit-&gt;Office Visit"/>
    <s v="Type 1 diabetes mellitus (EHR);"/>
    <m/>
    <m/>
    <m/>
    <s v="insulin glargine (day -36, for 0 days); insulin aspart, human (day -36, for 0 days);"/>
    <m/>
    <m/>
    <m/>
    <m/>
    <s v="Proliferative retinopathy of left eye due to diabetes mellitus (day 1343); Retinopathy due to type 1 diabetes mellitus (day 1496); Type 1 diabetes mellitus (day 750)"/>
    <m/>
    <s v="insulin aspart, human (day 17, for 0 days); insulin glargine (day 17, for 0 days); insulin aspart, human (day 80, for 0 days); insulin glargine (day 80, for 0 days); insulin glargine (day 182, for 0 days); insulin aspart, human (day 182, for 0 days); insu"/>
    <m/>
  </r>
  <r>
    <x v="0"/>
    <n v="3181110734"/>
    <n v="21"/>
    <s v="Male"/>
    <s v="-1 days - 115 days"/>
    <s v="Office Visit"/>
    <s v="Type 1 diabetes mellitus (EHR);"/>
    <m/>
    <m/>
    <m/>
    <m/>
    <m/>
    <m/>
    <m/>
    <m/>
    <m/>
    <m/>
    <s v="insulin aspart, human (day 0, for 123 days);"/>
    <m/>
  </r>
  <r>
    <x v="0"/>
    <n v="3212210166"/>
    <n v="39"/>
    <s v="Male"/>
    <s v="-11 days - 1130 days"/>
    <s v="Office Visit"/>
    <s v="Type 1 diabetes mellitus (EHR);"/>
    <m/>
    <m/>
    <m/>
    <m/>
    <m/>
    <m/>
    <m/>
    <m/>
    <s v="Diabetic ketoacidosis (day 741)"/>
    <m/>
    <s v="insulin aspart, human (day 35, for 763 days); insulin glargine (day 780, for 0 days); insulin glargine (day 848, for 0 days); insulin aspart, human (day 848, for 0 days); insulin aspart, human (day 911, for 0 days); insulin glargine (day 911, for 0 days);"/>
    <m/>
  </r>
  <r>
    <x v="1"/>
    <n v="3266510164"/>
    <n v="60"/>
    <s v="Male"/>
    <s v="-42 days - 4337 days"/>
    <s v="Office Visit"/>
    <s v="Type 1 diabetes mellitus (EHR);"/>
    <s v="Diabetes mellitus (day -38)"/>
    <m/>
    <m/>
    <s v="insulin glargine (day -10, for 82 days); insulin lispro (day -10, for 108 days);"/>
    <m/>
    <m/>
    <s v="Glucose measurement, blood (4.8 millimole per liter, day -7); HbA1c measurement (DCCT aligned) (8.8 percent, day -7);"/>
    <s v="Diabetes mellitus (day -38)"/>
    <s v="Disorder of macula due to diabetes mellitus (day 1708, 3890); Nonproliferative retinopathy due to diabetes mellitus (day 1782, 2755)"/>
    <m/>
    <s v="insulin lispro (day 137, for 65 days); insulin glargine (day 137, for 65 days); insulin lispro (day 255, for 360 days); insulin glargine (day 326, for 27 days); insulin glargine (day 457, for 77 days); insulin lispro (day 651, for 349 days); insulin glarg"/>
    <m/>
  </r>
  <r>
    <x v="0"/>
    <n v="3354710424"/>
    <n v="24"/>
    <s v="Male"/>
    <s v="-26 days - 456 days"/>
    <s v="Office Visit-&gt;Office Visit"/>
    <s v="Type 1 diabetes mellitus (EHR);"/>
    <m/>
    <m/>
    <m/>
    <m/>
    <m/>
    <m/>
    <m/>
    <m/>
    <s v="Type 1 diabetes mellitus (day 100)"/>
    <m/>
    <s v="insulin glargine (day 4, for 52 days); insulin aspart, human (day 4, for 52 days); insulin aspart, human (day 189, for 0 days); insulin glargine (day 189, for 0 days); insulin glargine (day 309, for 0 days); insulin aspart, human (day 309, for 0 days); in"/>
    <m/>
  </r>
  <r>
    <x v="0"/>
    <n v="9461110544"/>
    <n v="3"/>
    <s v="Female"/>
    <s v="-71 days - 860 days"/>
    <s v="Office Visit"/>
    <s v="Type 1 diabetes mellitus (EHR);"/>
    <m/>
    <m/>
    <m/>
    <m/>
    <m/>
    <m/>
    <m/>
    <m/>
    <m/>
    <m/>
    <s v="insulin, regular, human (day 0, for 27 days); insulin isophane (day 0, for 27 days); insulin, regular, human (day 64, for 172 days); insulin isophane (day 64, for 172 days); insulin aspart, human (day 211, for 27 days); insulin, regular, human (day 316, f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n v="7810823"/>
    <n v="53"/>
    <s v="Female"/>
    <s v="-2979 days - 4196 days"/>
    <s v="Office Visit-&gt;Office Visit"/>
    <s v="10g monofilament sensation L foot normal (EHR); 10g monofilament sensation R foot normal (EHR); All pulses present in left foot (EHR); All pulses present in left lower limb (EHR); All pulses present in right foot (EHR); All pulses present in right lower l"/>
    <m/>
    <m/>
    <s v="Proliferative retinopathy due to diabetes mellitus (day -458); Severe nonproliferative retinopathy due to diabetes mellitus (day -2234)"/>
    <s v="insulin isophane (day -2864, for 55 days); insulin, regular, human (day -2864, for 55 days); insulin, regular, human (day -2775, for 149 days); insulin isophane (day -2775, for 149 days); insulin, regular, human (day -2568, for 55 days); insulin isophane "/>
    <m/>
    <m/>
    <s v="HbA1c measurement (DCCT aligned) (82 millimole per mole, day 0);"/>
    <m/>
    <s v="Nonproliferative retinopathy of left eye due to diabetes mellitus (day 818, 1161); Nonproliferative retinopathy of right eye due to diabetes mellitus (day 182, 818); Preproliferative retinopathy of left eye due to diabetes mellitus (day 1651); Proliferati"/>
    <m/>
    <s v="insulin isophane (day 61, for 27 days); insulin, regular, human (day 61, for 55 days); insulin isophane (day 151, for 27 days); insulin, regular, human (day 151, for 55 days); insulin isophane (day 221, for 69 days); insulin, regular, human (day 263, for "/>
    <m/>
  </r>
  <r>
    <x v="1"/>
    <n v="2352010389"/>
    <n v="20"/>
    <s v="Male"/>
    <s v="-85 days - 166 days"/>
    <m/>
    <s v="Acquired deviated nasal septum (EHR); All pulses present in left lower limb (EHR); All pulses present in right lower limb (EHR); Blood pressure finding (EHR); Finding of foot region (EHR); Normal tactile sensation (EHR); Temporomandibular joint disorder ("/>
    <s v="Family history of diabetes mellitus (day -85)"/>
    <m/>
    <s v="Type 1 diabetes mellitus (day -69)"/>
    <m/>
    <m/>
    <m/>
    <s v="Glucose measurement, blood (6.4 millimole per liter, abnormal - high, day -17); HbA1c measurement (DCCT aligned) (58 millimole per mole, day -17);"/>
    <m/>
    <m/>
    <m/>
    <s v="insulin aspart, human (day 89, for 11 days); insulin glargine (day 89, for 27 days);"/>
    <m/>
  </r>
  <r>
    <x v="1"/>
    <n v="244010017"/>
    <n v="17"/>
    <s v="Female"/>
    <s v="-2281 days - 4538 days"/>
    <m/>
    <s v="Acute upper respiratory infection (EHR); Acute upper respiratory infection (EHR); Type 1 diabetes mellitus (EHR); Type 1 diabetes mellitus (EHR);"/>
    <m/>
    <m/>
    <s v="Type 1 diabetes mellitus (day -38)"/>
    <s v="insulin, regular, human (day -32, for 408 days); insulin lispro (day -32, for 27 days); insulin isophane (day -32, for 408 days);"/>
    <m/>
    <m/>
    <m/>
    <m/>
    <s v="Ketoacidotic coma due to type 1 diabetes mellitus (day 1871); Type 1 diabetes mellitus (day 66)"/>
    <m/>
    <s v="insulin lispro (day 125, for 27 days); insulin, regular, human (day 413, for 107 days); insulin isophane (day 413, for 107 days); insulin lispro (day 447, for 27 days); insulin isophane (day 583, for 27 days); insulin, regular, human (day 583, for 27 days"/>
    <m/>
  </r>
  <r>
    <x v="1"/>
    <n v="5359010662"/>
    <n v="51"/>
    <s v="Male"/>
    <s v="-2 days - 854 days"/>
    <s v="Office Visit"/>
    <s v="Alcohol dependence (EHR); Alcoholic cirrhosis (EHR); Asthma (EHR); Epilepsy (EHR); Glaucoma (EHR); Retinal detachment (EHR); Traumatic or nontraumatic brain injury (EHR); Type 1 diabetes mellitus (EHR);"/>
    <m/>
    <m/>
    <m/>
    <m/>
    <m/>
    <m/>
    <s v="HbA1c measurement (DCCT aligned) (84 millimole per mole, abnormal - high, day 14);"/>
    <m/>
    <m/>
    <m/>
    <s v="insulin isophane (day 0, for 627 days); insulin, regular, human (day 0, for 627 days); insulin, regular, human (day 742, for 0 days); insulin isophane (day 742, for 0 days); insulin detemir (day 742, for 0 days); insulin, regular, human (day 783, for 0 da"/>
    <m/>
  </r>
  <r>
    <x v="0"/>
    <n v="261610479"/>
    <n v="39"/>
    <s v="Female"/>
    <s v="-4686 days - 3219 days"/>
    <m/>
    <s v="All pulses present in left lower limb (EHR); All pulses present in right lower limb (EHR); Blood pressure finding (EHR); Type 1 diabetes mellitus (EHR);"/>
    <s v="Diabetes mellitus (day -4670, -4635, -4228, -4130, -3731, -2970, -1745, -576, -499, -430, -317)"/>
    <m/>
    <s v="Type 1 diabetes mellitus (day -476)"/>
    <s v="insulin isophane (day -4565, for 3234 days); insulin, regular, human (day -4565, for 77 days); insulin, regular, human (day -4419, for 393 days); insulin, regular, human (day -3965, for 29 days); insulin, regular, human (day -3878, for 2350 days); metform"/>
    <m/>
    <m/>
    <s v="HbA1c measurement (DCCT aligned) (7.7 percent, day 0);"/>
    <m/>
    <m/>
    <m/>
    <s v="insulin aspart, human (day 53, for 30 days); insulin aspart, human (day 115, for 0 days); insulin aspart, human (day 151, for 0 days); insulin aspart, human (day 196, for 0 days); insulin aspart, human (day 245, for 0 days); insulin aspart, human (day 276"/>
    <m/>
  </r>
  <r>
    <x v="0"/>
    <n v="378410775"/>
    <n v="34"/>
    <s v="Male"/>
    <s v="-274 days - 8161 days"/>
    <m/>
    <s v="All pulses present in left lower limb (EHR); All pulses present in right lower limb (EHR); Type 1 diabetes mellitus (EHR);"/>
    <s v="Essential hypertension (day -69)"/>
    <m/>
    <s v="Type 1 diabetes mellitus (day -48)"/>
    <s v="insulin, regular, human (day -207, for 291 days); insulin isophane (day -207, for 291 days);"/>
    <m/>
    <m/>
    <s v="HbA1c measurement (DCCT aligned) (0 , day -28); HbA1c measurement (DCCT aligned) (7.8 , day -28);"/>
    <s v="Essential hypertension (day -69)"/>
    <s v="Disorder of left macula due to diabetes mellitus (day 3108, 7617, 7703); Disorder of right macula due to diabetes mellitus (day 7617, 7703); Nonproliferative retinopathy due to diabetes mellitus (day 371); Nonproliferative retinopathy of left eye due to d"/>
    <m/>
    <s v="insulin, regular, human (day 115, for 146 days); insulin isophane (day 115, for 146 days); insulin isophane (day 296, for 53 days); insulin, regular, human (day 296, for 53 days); insulin, regular, human (day 382, for 368 days); insulin isophane (day 382,"/>
    <m/>
  </r>
  <r>
    <x v="0"/>
    <n v="1502010397"/>
    <n v="16"/>
    <s v="Male"/>
    <s v="-2646 days - 911 days"/>
    <m/>
    <s v="All pulses present in left lower limb (EHR); All pulses present in right lower limb (EHR); Blood pressure finding (EHR); Type 1 diabetes mellitus (EHR);"/>
    <m/>
    <m/>
    <s v="Type 1 diabetes mellitus (day -677, -630)"/>
    <s v="insulin aspart, human (day -676, for 1586 days); insulin isophane (day -676, for 44 days); insulin, regular, human (day -676, for 44 days); insulin aspart protamine, human (day -645, for 1150 days); insulin detemir (day -104, for 23 days); insulin detemir"/>
    <m/>
    <m/>
    <m/>
    <m/>
    <m/>
    <m/>
    <s v="insulin detemir (day 55, for 30 days); insulin detemir (day 140, for 0 days); insulin detemir (day 232, for 0 days); insulin detemir (day 315, for 30 days); insulin glargine (day 414, for 28 days); metformin (day 414, for 29 days); metformin (day 478, for"/>
    <m/>
  </r>
  <r>
    <x v="0"/>
    <n v="2353710622"/>
    <n v="18"/>
    <s v="Female"/>
    <s v="-2093 days - 237 days"/>
    <m/>
    <s v="All pulses present in left lower limb (EHR); All pulses present in right lower limb (EHR); Blood pressure finding (EHR); Type 1 diabetes mellitus (EHR);"/>
    <s v="Candidiasis (day -160)"/>
    <m/>
    <s v="Type 1 diabetes mellitus (day -435)"/>
    <s v="insulin glargine (day -435, for 13 days); insulin aspart, human (day -435, for 13 days); insulin glargine (day -380, for 23 days); insulin aspart, human (day -380, for 86 days); insulin glargine (day -294, for 0 days); insulin aspart, human (day -247, for"/>
    <m/>
    <m/>
    <s v="HbA1c measurement (DCCT aligned) (86 millimole per mole, day -7);"/>
    <m/>
    <m/>
    <m/>
    <s v="insulin aspart, human (day 34, for 0 days); insulin degludec (day 34, for 0 days); insulin aspart, human (day 78, for 0 days); insulin aspart, human (day 126, for 0 days); insulin degludec (day 126, for 0 days); insulin degludec (day 202, for 0 days); ins"/>
    <m/>
  </r>
  <r>
    <x v="0"/>
    <n v="1045410614"/>
    <n v="40"/>
    <s v="Female"/>
    <s v="-14 days - 5874 days"/>
    <s v="Office Visit"/>
    <s v="Allergic reaction to drug (EHR); Type 1 diabetes mellitus (EHR);"/>
    <m/>
    <m/>
    <m/>
    <m/>
    <m/>
    <m/>
    <m/>
    <m/>
    <s v="Disorder of nervous system due to diabetes mellitus (day 3240, 5340)"/>
    <m/>
    <s v="insulin, regular, human (day 50, for 29 days); insulin isophane (day 50, for 29 days); insulin, regular, human (day 178, for 29 days); insulin isophane (day 178, for 29 days); insulin, regular, human (day 246, for 29 days); insulin isophane (day 246, for "/>
    <m/>
  </r>
  <r>
    <x v="0"/>
    <n v="4803410866"/>
    <n v="20"/>
    <s v="Female"/>
    <s v="-12 days - 83 days"/>
    <s v="Office Visit"/>
    <s v="Asthma (EHR); Obesity (EHR); Type 1 diabetes mellitus (EHR);"/>
    <m/>
    <m/>
    <m/>
    <m/>
    <m/>
    <m/>
    <m/>
    <s v="Obesity (day 0)"/>
    <m/>
    <m/>
    <s v="insulin aspart, human (day 0, for 55 days); insulin glargine (day 0, for 0 days); insulin glargine (day 70, for 0 days);"/>
    <m/>
  </r>
  <r>
    <x v="0"/>
    <n v="384210994"/>
    <n v="30"/>
    <s v="Male"/>
    <s v="-7106 days - 903 days"/>
    <s v="Office Visit"/>
    <s v="Asymptomatic periapical periodontitis (EHR); Dental caries (EHR); Type 1 diabetes mellitus (EHR);"/>
    <s v="Cyst of pancreas (day -5967, -4488, -3139)"/>
    <m/>
    <m/>
    <m/>
    <m/>
    <m/>
    <m/>
    <m/>
    <m/>
    <m/>
    <s v="insulin glargine (day 8, for 178 days); insulin aspart, human (day 8, for 178 days); insulin aspart, human (day 218, for 243 days); insulin glargine (day 218, for 243 days); insulin aspart, human (day 543, for 28 days); insulin glargine (day 543, for 28 d"/>
    <m/>
  </r>
  <r>
    <x v="0"/>
    <n v="77110497"/>
    <n v="26"/>
    <s v="Male"/>
    <s v="-3834 days - 107 days"/>
    <m/>
    <s v="Atopic conjunctivitis (EHR); Type 1 diabetes mellitus (EHR);"/>
    <s v="Diabetes mellitus (day -2101, -1801, -576); Diabetic - good control (day -2085, -1779, -1289, -1107, -771)"/>
    <m/>
    <s v="Retinopathy due to diabetes mellitus (day -341); Type 1 diabetes mellitus (day -2008, -1304)"/>
    <s v="insulin, regular, human (day -2095, for 35 days); insulin isophane (day -2095, for 35 days); insulin, regular, human (day -2024, for 29 days); insulin isophane (day -2024, for 29 days); insulin, regular, human (day -1954, for 29 days); insulin isophane (d"/>
    <m/>
    <m/>
    <m/>
    <m/>
    <m/>
    <m/>
    <m/>
    <m/>
  </r>
  <r>
    <x v="0"/>
    <n v="35210409"/>
    <n v="29"/>
    <s v="Male"/>
    <s v="-2078 days - 851 days"/>
    <m/>
    <s v="Blood pressure finding (EHR); Type 1 diabetes mellitus (EHR);"/>
    <s v="Diabetes mellitus (day -1829, -1186, -286)"/>
    <m/>
    <s v="Type 1 diabetes mellitus (day -972)"/>
    <s v="insulin, regular, human (day -2052, for 98 days); insulin isophane (day -1996, for 42 days); insulin isophane (day -1878, for 632 days); insulin, regular, human (day -1878, for 156 days); insulin lispro (day -1707, for 353 days); insulin lispro (day -1323"/>
    <m/>
    <m/>
    <m/>
    <m/>
    <s v="Type 1 diabetes mellitus (day 624, 704)"/>
    <m/>
    <s v="insulin lispro (day 25, for 27 days); insulin lispro (day 104, for 67 days); insulin glargine (day 180, for 57 days); insulin lispro (day 210, for 27 days); insulin glargine (day 277, for 154 days); insulin lispro (day 343, for 27 days); insulin lispro (d"/>
    <m/>
  </r>
  <r>
    <x v="2"/>
    <n v="153910595"/>
    <n v="62"/>
    <s v="Male"/>
    <s v="-1716 days - 479 days"/>
    <m/>
    <s v="Blood pressure finding (EHR); Finding of vibration sense (EHR); Pulse present in left dorsalis pedis artery (EHR); Pulse present in left posterior tibial artery (EHR); Pulse present in right dorsalis pedis artery (EHR); Pulse present in right posterior ti"/>
    <s v="Diabetes mellitus (day -778, -455, -372); Essential hypertension (day -1008); Insulin treated type 2 diabetes mellitus (day -778); Type 2 diabetes mellitus (day -372)"/>
    <m/>
    <s v="Type 1 diabetes mellitus (day -778)"/>
    <s v="insulin isophane (day -35, for 312 days);"/>
    <m/>
    <m/>
    <s v="Glucose measurement, blood (14.8 , day -9); HbA1c measurement (DCCT aligned) (5.8 , day -9); Glucose measurement, blood (14.8 , day 0); HbA1c measurement (DCCT aligned) (5.8 , day 0); Urine screening for glucose (day 0);"/>
    <m/>
    <s v="Type 1 diabetes mellitus (day 228)"/>
    <m/>
    <s v="insulin isophane (day 322, for 144 days);"/>
    <m/>
  </r>
  <r>
    <x v="0"/>
    <n v="274210173"/>
    <n v="77"/>
    <s v="Female"/>
    <s v="-357 days - 765 days"/>
    <m/>
    <s v="Blood pressure finding (EHR); Type 1 diabetes mellitus (EHR);"/>
    <s v="Diabetes mellitus (day -91)"/>
    <m/>
    <s v="Type 1 diabetes mellitus (day -91)"/>
    <s v="insulin, regular, human (day -91, for 163 days); insulin isophane (day -91, for 163 days);"/>
    <m/>
    <m/>
    <m/>
    <m/>
    <m/>
    <m/>
    <s v="insulin isophane (day 164, for 44 days); insulin, regular, human (day 164, for 44 days); insulin isophane (day 282, for 27 days); insulin, regular, human (day 282, for 27 days); insulin isophane (day 357, for 27 days); insulin, regular, human (day 357, fo"/>
    <m/>
  </r>
  <r>
    <x v="2"/>
    <n v="436610288"/>
    <n v="67"/>
    <s v="Female"/>
    <s v="-5268 days - 480 days"/>
    <m/>
    <s v="Blood pressure finding (EHR); Type 1 diabetes mellitus (EHR);"/>
    <s v="Diabetes mellitus (day -4682, -4472, -4000, -3916, -2986); Family history of diabetes mellitus (day -3923); Type 2 diabetes mellitus (day -5140, -4197, -4063, -3309, -2993)"/>
    <m/>
    <s v="Autonomic neuropathy due to diabetes mellitus (day -3779); Disorder of nervous system due to diabetes mellitus (day -3552, -3281, -3090); Neuropathy due to diabetes mellitus (day -4609); Type 1 diabetes mellitus (day -2979, -88)"/>
    <s v="metformin (day -5250, for 1522 days); insulin isophane (day -5241, for 2196 days); acarbose (day -5236, for 1728 days); pioglitazone (day -4000, for 27 days); pioglitazone (day -3916, for 184 days); insulin glargine (day -3902, for 37 days); metformin (da"/>
    <m/>
    <m/>
    <s v="HbA1c measurement (DCCT aligned) (34 millimole per mole, normal, day -7);"/>
    <m/>
    <m/>
    <m/>
    <s v="insulin isophane (day 323, for 27 days); insulin isophane (day 385, for 112 days);"/>
    <m/>
  </r>
  <r>
    <x v="0"/>
    <n v="503810366"/>
    <n v="72"/>
    <s v="Male"/>
    <s v="-5496 days - 1202 days"/>
    <s v="Office Visit"/>
    <s v="Blood pressure finding (EHR); Diabetes mellitus (EHR); Type 1 diabetes mellitus (EHR);"/>
    <s v="Acute pancreatitis (day -38); Essential hypertension (day -1177, -830, -674)"/>
    <m/>
    <m/>
    <m/>
    <m/>
    <m/>
    <m/>
    <s v="Acute pancreatitis (day -38); Diabetes mellitus (day 0)"/>
    <m/>
    <m/>
    <s v="insulin aspart, human (day 33, for 60 days); insulin aspart protamine, human (day 33, for 60 days); insulin glargine (day 125, for 98 days); insulin glargine (day 279, for 27 days); insulin glargine (day 369, for 67 days); insulin glargine (day 510, for 2"/>
    <m/>
  </r>
  <r>
    <x v="0"/>
    <n v="559910689"/>
    <n v="34"/>
    <s v="Male"/>
    <s v="-1186 days - 4197 days"/>
    <s v="Office Visit-&gt;Office Visit"/>
    <s v="Blood pressure finding (EHR); Type 1 diabetes mellitus (EHR);"/>
    <s v="Diabetes mellitus (day -350)"/>
    <m/>
    <m/>
    <s v="insulin, regular, human (day -1108, for 27 days); insulin, regular, human (day -1043, for 27 days); insulin, regular, human (day -892, for 85 days); insulin, regular, human (day -599, for 27 days); insulin, regular, human (day -487, for 27 days); insulin,"/>
    <m/>
    <m/>
    <s v="HbA1c measurement (DCCT aligned) (8.4 , day 0);"/>
    <m/>
    <s v="Diabetic hand syndrome (day 882, 958); Nonproliferative retinopathy due to diabetes mellitus (day 376); Retinopathy due to diabetes mellitus (day 3657, 4043); Type 1 diabetes mellitus (day 950, 1137)"/>
    <m/>
    <s v="insulin, regular, human (day 21, for 27 days); insulin, regular, human (day 112, for 27 days); insulin, regular, human (day 207, for 27 days); insulin, regular, human (day 341, for 27 days); insulin, regular, human (day 416, for 27 days); insulin, regular"/>
    <m/>
  </r>
  <r>
    <x v="2"/>
    <n v="644210241"/>
    <n v="66"/>
    <s v="Male"/>
    <s v="-4926 days - 262 days"/>
    <s v="Office Visit"/>
    <s v="Blood pressure finding (EHR); Type 1 diabetes mellitus (EHR);"/>
    <s v="Diabetes mellitus (day -2589, -469); Essential hypertension (day -155); Type 2 diabetes mellitus (day -2589)"/>
    <m/>
    <s v="Nonproliferative retinopathy due to diabetes mellitus (day -173)"/>
    <s v="glyburide (day -1513, for 111 days);"/>
    <m/>
    <m/>
    <m/>
    <m/>
    <m/>
    <m/>
    <s v="insulin isophane (day 0, for 27 days); insulin, regular, human (day 0, for 27 days); insulin isophane (day 80, for 27 days); insulin, regular, human (day 80, for 27 days); insulin isophane (day 142, for 27 days); insulin, regular, human (day 142, for 27 d"/>
    <m/>
  </r>
  <r>
    <x v="1"/>
    <n v="812210207"/>
    <n v="38"/>
    <s v="Female"/>
    <s v="-85 days - 4750 days"/>
    <s v="Office Visit"/>
    <s v="Blood pressure finding (EHR); Type 1 diabetes mellitus (EHR);"/>
    <m/>
    <m/>
    <m/>
    <m/>
    <m/>
    <m/>
    <s v="Serum fasting glucose measurement (15 millimole per liter, day 12);"/>
    <m/>
    <m/>
    <m/>
    <s v="insulin isophane (day 0, for 76 days); insulin, regular, human (day 0, for 76 days); insulin, regular, human (day 113, for 133 days); insulin isophane (day 113, for 133 days); insulin, regular, human (day 289, for 27 days); insulin isophane (day 289, for "/>
    <m/>
  </r>
  <r>
    <x v="0"/>
    <n v="925810409"/>
    <n v="31"/>
    <s v="Female"/>
    <s v="-2831 days - 1990 days"/>
    <m/>
    <s v="Blood pressure finding (EHR); Blood pressure finding (EHR); Blood pressure finding (EHR); Blood pressure finding (EHR); Blood pressure finding (EHR); Blood pressure finding (EHR); Blood pressure finding (EHR); Type 1 diabetes mellitus (EHR); Type 1 diabet"/>
    <s v="Candidiasis (day -2698, -2159); Candidiasis of vagina (day -2699); Diabetes mellitus (day -1851, -1669, -1368, -1168)"/>
    <m/>
    <s v="Retinopathy due to diabetes mellitus (day -2272, -1424, -866, -140); Type 1 diabetes mellitus (day -853, -140, -28)"/>
    <s v="insulin isophane (day -2791, for 230 days); insulin, regular, human (day -2791, for 230 days); insulin isophane (day -2527, for 142 days); insulin, regular, human (day -2527, for 142 days); insulin, regular, human (day -2337, for 54 days); insulin isophan"/>
    <m/>
    <m/>
    <s v="HbA1c measurement (DCCT aligned) (8.3 percent, day 14); Glucose measurement, blood (9.2 millimole per liter, day 14); HbA1c measurement (DCCT aligned) (8.8 percent, day 28);"/>
    <m/>
    <s v="Retinopathy due to diabetes mellitus (day 794, 849, 1682, 1745); Type 1 diabetes mellitus (day 80, 303, 337, 458, 591, 819, 917, 962, 997, 1193, 1234)"/>
    <m/>
    <s v="insulin aspart, human (day 17, for 27 days); insulin glargine (day 211, for 27 days); insulin aspart, human (day 211, for 27 days); insulin aspart, human (day 309, for 27 days); insulin glargine (day 309, for 27 days); insulin glargine (day 367, for 425 d"/>
    <m/>
  </r>
  <r>
    <x v="1"/>
    <n v="1054010302"/>
    <n v="33"/>
    <s v="Female"/>
    <s v="-4416 days - 710 days"/>
    <m/>
    <s v="Blood pressure finding (EHR); Blood pressure finding (EHR); Blood pressure finding (EHR); Blood pressure finding (EHR); Type 1 diabetes mellitus (EHR); Type 1 diabetes mellitus (EHR); Type 1 diabetes mellitus (EHR); Type 1 diabetes mellitus (EHR);"/>
    <s v="Candidiasis (day -3653, -3374, -2751, -2520, -2473, -1795, -1539, -1274, -1177, -335); Candidiasis of vagina (day -3047, -2179, -2123, -1896); Diabetes mellitus (day -4042, -3471, -3110, -2960, -2737, -2544, -2330, -2270, -2226, -2192, -2044, -1974, -1647"/>
    <m/>
    <s v="Hypoglycemic coma due to type 1 diabetes mellitus (day -2197, -2158); Ketoacidosis due to type 1 diabetes mellitus (day -3038); Loss of hypoglycemic warning due to diabetes mellitus (day -836, -581); Proliferative retinopathy due to diabetes mellitus (day"/>
    <s v="insulin lispro (day -4396, for 29 days); insulin lispro (day -4336, for 29 days); insulin isophane (day -4336, for 29 days); insulin lispro (day -4251, for 29 days); insulin isophane (day -4251, for 29 days); insulin lispro (day -4129, for 29 days); insul"/>
    <m/>
    <m/>
    <s v="Serum fasting glucose measurement (3.4 millimole per liter, normal, day 0); HbA1c measurement (DCCT aligned) (83 millimole per mole, abnormal - high, day 0);"/>
    <m/>
    <s v="Proliferative retinopathy due to diabetes mellitus (day 639); Type 1 diabetes mellitus (day 40)"/>
    <m/>
    <s v="insulin lispro (day 77, for 0 days); insulin detemir (day 77, for 74 days); insulin lispro (day 124, for 0 days); insulin detemir (day 182, for 179 days); insulin lispro (day 182, for 0 days); insulin lispro (day 238, for 0 days); insulin lispro (day 295,"/>
    <m/>
  </r>
  <r>
    <x v="0"/>
    <n v="1525510677"/>
    <n v="39"/>
    <s v="Male"/>
    <s v="-2640 days - 6782 days"/>
    <m/>
    <s v="Blood pressure finding (EHR); Blood pressure finding (EHR); Blood pressure finding (EHR); Blood pressure finding (EHR); Type 1 diabetes mellitus (EHR); Type 1 diabetes mellitus (EHR); Type 1 diabetes mellitus (EHR); Type 1 diabetes mellitus (EHR);"/>
    <s v="Diabetes mellitus (day -980)"/>
    <m/>
    <s v="Type 1 diabetes mellitus (day -1184, -939)"/>
    <s v="insulin aspart protamine, human (day -966, for 152 days); insulin aspart, human (day -966, for 152 days); insulin aspart, human (day -771, for 0 days); insulin aspart protamine, human (day -771, for 0 days); insulin aspart protamine, human (day -715, for "/>
    <m/>
    <m/>
    <s v="Self-monitoring of blood glucose (day 0); Glucose measurement, blood (11.5 , day 0);"/>
    <m/>
    <s v="Disorder of left macula due to diabetes mellitus (day 5412); Disorder of macula due to diabetes mellitus (day 5340, 5412); Nonproliferative retinopathy due to diabetes mellitus (day 3952, 4402, 5340, 5412, 5643); Nonproliferative retinopathy of left eye d"/>
    <m/>
    <s v="insulin aspart protamine, human (day 5, for 0 days); insulin aspart, human (day 5, for 0 days); insulin aspart protamine, human (day 46, for 0 days); insulin aspart, human (day 46, for 0 days); insulin aspart protamine, human (day 110, for 0 days); insuli"/>
    <m/>
  </r>
  <r>
    <x v="0"/>
    <n v="1721910803"/>
    <n v="34"/>
    <s v="Male"/>
    <s v=" days -  days"/>
    <s v="Office Visit-&gt;Office Visit"/>
    <s v="Blood pressure finding (EHR); Blood pressure finding (EHR); Type 1 diabetes mellitus (EHR); Type 1 diabetes mellitus (EHR);"/>
    <m/>
    <m/>
    <m/>
    <m/>
    <m/>
    <m/>
    <m/>
    <m/>
    <m/>
    <m/>
    <s v="insulin detemir (day 10, for 1158 days); insulin aspart, human (day 10, for 2252 days); insulin degludec (day 1164, for 72 days); insulin degludec (day 1270, for 0 days); insulin degludec (day 1316, for 319 days); insulin degludec (day 1667, for 164 days)"/>
    <m/>
  </r>
  <r>
    <x v="1"/>
    <n v="1985010365"/>
    <n v="72"/>
    <s v="Male"/>
    <s v="-300 days - 1502 days"/>
    <s v="Office Visit-&gt;Office Visit"/>
    <s v="Blood pressure finding (EHR); Type 1 diabetes mellitus (EHR);"/>
    <m/>
    <m/>
    <m/>
    <s v="insulin isophane (day -289, for 142 days); insulin, regular, human (day -287, for 0 days); insulin, regular, human (day -217, for 172 days); insulin isophane (day -72, for 29 days); insulin, regular, human (day -12, for 191 days); insulin isophane (day -1"/>
    <m/>
    <m/>
    <s v="Glucose measurement, blood (12.7 millimole per liter, day -12);"/>
    <m/>
    <s v="Persistent microalbuminuria due to type 1 diabetes mellitus (day 1080); Type 1 diabetes mellitus (day 48, 517, 595)"/>
    <m/>
    <s v="insulin isophane (day 96, for 29 days); insulin, regular, human (day 211, for 82 days); insulin isophane (day 211, for 29 days); insulin, regular, human (day 327, for 792 days); insulin isophane (day 327, for 29 days); insulin isophane (day 418, for 101 d"/>
    <m/>
  </r>
  <r>
    <x v="2"/>
    <n v="2020510974"/>
    <n v="55"/>
    <s v="Male"/>
    <s v="-3204 days - 4530 days"/>
    <s v="Office Visit-&gt;Office Visit"/>
    <s v="Blood pressure finding (EHR); Type 1 diabetes mellitus (EHR);"/>
    <s v="Essential hypertension (day -3113); Hyperlipidemia (day -2840, -2667, -2030, -1952, -1862, -1077, -894, -230); Insulin treated type 2 diabetes mellitus (day -3204); Obesity (day -2484); Type 2 diabetes mellitus (day -3204, -2675, -2303, -2041, -824, -467)"/>
    <m/>
    <s v="Nonproliferative retinopathy due to diabetes mellitus (day -3070); Retinopathy due to diabetes mellitus (day -2484)"/>
    <s v="metformin (day -3178, for 56 days); insulin, regular, human (day -3143, for 206 days); insulin isophane (day -3143, for 206 days); metformin (day -3086, for 104 days); metformin (day -2945, for 89 days); insulin aspart, human (day -2939, for 4424 days); i"/>
    <m/>
    <m/>
    <m/>
    <m/>
    <s v="Type 1 diabetes mellitus (day 1198)"/>
    <m/>
    <s v="metformin (day 115, for 54 days); metformin (day 205, for 138 days); metformin (day 391, for 371 days); metformin (day 822, for 116 days); metformin (day 981, for 57 days); metformin (day 1127, for 27 days); metformin (day 1198, for 27 days); metformin (d"/>
    <m/>
  </r>
  <r>
    <x v="0"/>
    <n v="2520610627"/>
    <n v="44"/>
    <s v="Female"/>
    <s v=" days -  days"/>
    <s v="Office Visit-&gt;Office Visit"/>
    <s v="Blood pressure finding (EHR); Type 1 diabetes mellitus (EHR);"/>
    <m/>
    <m/>
    <m/>
    <m/>
    <m/>
    <m/>
    <m/>
    <m/>
    <s v="Retinopathy due to diabetes mellitus (day 188); Type 1 diabetes mellitus (day 539)"/>
    <m/>
    <s v="insulin aspart, human (day 82, for 0 days); insulin detemir (day 82, for 84 days); insulin aspart, human (day 367, for 44 days); insulin aspart, human (day 454, for 27 days); insulin detemir (day 454, for 27 days); insulin detemir (day 553, for 122 days);"/>
    <m/>
  </r>
  <r>
    <x v="2"/>
    <n v="3954810544"/>
    <n v="58"/>
    <s v="Male"/>
    <s v="-2017 days - 3651 days"/>
    <m/>
    <s v="Blood pressure finding (EHR); Finding of foot region (EHR); Type 1 diabetes mellitus (EHR);"/>
    <s v="Calculus of pancreas (day -1068); Diabetes mellitus (day -581); Type 2 diabetes mellitus (day -1919, -581)"/>
    <m/>
    <s v="Type 1 diabetes mellitus (day -581)"/>
    <s v="glipizide (day -1596, for 124 days); glipizide (day -1410, for 27 days); glipizide (day -1305, for 96 days); glipizide (day -1165, for 55 days); glipizide (day -1065, for 55 days); insulin isophane (day -1023, for 27 days); insulin, regular, human (day -9"/>
    <m/>
    <m/>
    <s v="HbA1c measurement (DCCT aligned) (7.3 percent, day 0);"/>
    <m/>
    <s v="Nonproliferative retinopathy due to diabetes mellitus (day 2692); Preproliferative retinopathy due to diabetes mellitus (day 3024); Retinopathy due to type 2 diabetes mellitus (day 2446)"/>
    <m/>
    <s v="insulin isophane (day 39, for 27 days); insulin lispro (day 39, for 27 days); insulin isophane (day 472, for 132 days); insulin lispro (day 528, for 76 days); insulin lispro (day 781, for 27 days); insulin isophane (day 781, for 27 days); insulin glargine"/>
    <m/>
  </r>
  <r>
    <x v="0"/>
    <n v="726710461"/>
    <n v="47"/>
    <s v="Male"/>
    <s v="-1428 days - 6734 days"/>
    <s v="Office Visit-&gt;Office Visit"/>
    <s v="Diabetes mellitus (EHR); Diabetes mellitus (EHR); Type 1 diabetes mellitus (EHR); Type 1 diabetes mellitus (EHR);"/>
    <s v="Diabetes mellitus (day -1047)"/>
    <m/>
    <m/>
    <s v="insulin, protamine zinc, beef (day -1422, for 27 days); insulin, protamine zinc, beef (day -1348, for 27 days); insulin, protamine zinc, beef (day -1264, for 27 days); insulin, protamine zinc, beef (day -1198, for 27 days); insulin, protamine zinc, beef ("/>
    <m/>
    <m/>
    <m/>
    <s v="Diabetes mellitus (day 0); Retinopathy due to diabetes mellitus (day 76)"/>
    <s v="Proliferative retinopathy due to diabetes mellitus (day 3989, 4187, 4898); Retinopathy due to diabetes mellitus (day 76); Type 1 diabetes mellitus (day 3836, 3995, 4195, 4797, 5033, 5098, 5546)"/>
    <m/>
    <s v="insulin, regular, human (day 315, for 460 days); insulin, regular, human (day 838, for 630 days); insulin, regular, human (day 1504, for 27 days); insulin isophane (day 1567, for 1167 days); insulin, regular, human (day 1567, for 1141 days); insulin, regu"/>
    <m/>
  </r>
  <r>
    <x v="1"/>
    <n v="833410289"/>
    <n v="24"/>
    <s v="Female"/>
    <s v="-2491 days - 4727 days"/>
    <s v="Office Visit-&gt;Office Visit"/>
    <s v="Diabetes mellitus (EHR); Type 1 diabetes mellitus (EHR);"/>
    <m/>
    <m/>
    <m/>
    <m/>
    <m/>
    <m/>
    <m/>
    <s v="Diabetes mellitus (day 0); Type 2 diabetes mellitus (day 1)"/>
    <s v="Diabetic ketoacidosis (day 2350, 2965, 3454, 3982); Retinopathy due to diabetes mellitus (day 3925); Type 1 diabetes mellitus (day 1627, 3035)"/>
    <m/>
    <s v="metformin (day 3, for 29 days); metformin (day 72, for 29 days); metformin (day 302, for 29 days); metformin (day 423, for 29 days); insulin, regular, human (day 436, for 27 days); insulin isophane (day 436, for 27 days); insulin isophane (day 519, for 27"/>
    <m/>
  </r>
  <r>
    <x v="0"/>
    <n v="971510284"/>
    <n v="60"/>
    <s v="Male"/>
    <s v="-350 days - 4511 days"/>
    <s v="Office Visit-&gt;Office Visit"/>
    <s v="Diabetes mellitus (EHR); Type 1 diabetes mellitus (EHR);"/>
    <m/>
    <m/>
    <m/>
    <m/>
    <m/>
    <m/>
    <m/>
    <s v="Diabetes mellitus (day 0)"/>
    <s v="Neuropathy due to diabetes mellitus (day 2914)"/>
    <m/>
    <s v="insulin, regular, human (day 989, for 27 days); insulin isophane (day 989, for 27 days); insulin isophane (day 1150, for 27 days); insulin, regular, human (day 1150, for 27 days); insulin isophane (day 1239, for 27 days); insulin, regular, human (day 1239"/>
    <m/>
  </r>
  <r>
    <x v="0"/>
    <n v="1094310233"/>
    <n v="4"/>
    <s v="Male"/>
    <s v="-1374 days - 6593 days"/>
    <s v="Office Visit-&gt;Office Visit"/>
    <s v="Diabetes mellitus (EHR); Type 1 diabetes mellitus (EHR);"/>
    <m/>
    <m/>
    <m/>
    <m/>
    <m/>
    <m/>
    <s v="Urine screening for glucose (day 0);"/>
    <s v="Diabetes mellitus (day 0)"/>
    <s v="Type 1 diabetes mellitus (day 4064)"/>
    <m/>
    <s v="insulin, regular, human (day 4, for 541 days); insulin isophane (day 4, for 541 days); insulin isophane (day 710, for 27 days); insulin, regular, human (day 710, for 27 days); insulin isophane (day 770, for 118 days); insulin, regular, human (day 770, for"/>
    <m/>
  </r>
  <r>
    <x v="0"/>
    <n v="38410333"/>
    <n v="33"/>
    <s v="Female"/>
    <s v="-157 days - 4631 days"/>
    <s v="Office Visit-&gt;Office Visit"/>
    <s v="Hyperlipidemia (EHR); Neuropathic arthropathy due to diabetes mellitus (EHR); Neuropathy due to diabetes mellitus (EHR); Retinopathy due to diabetes mellitus (EHR); Type 1 diabetes mellitus (EHR);"/>
    <m/>
    <m/>
    <m/>
    <s v="insulin isophane (day -153, for 398 days); insulin lispro (day -153, for 230 days);"/>
    <m/>
    <m/>
    <m/>
    <s v="Hyperlipidemia (day 0); Neuropathic arthropathy due to diabetes mellitus (day 0); Neuropathy due to diabetes mellitus (day 0); Retinopathy due to diabetes mellitus (day 0)"/>
    <s v="Mixed diabetic ulcer - foot (day 3620); Neuropathic arthropathy due to diabetes mellitus (day 320); Retinopathy due to diabetes mellitus (day 327); Type 1 diabetes mellitus (day 722)"/>
    <m/>
    <s v="metformin (day 112, for 3000 days); insulin lispro (day 126, for 119 days); insulin lispro (day 293, for 186 days); insulin isophane (day 340, for 139 days); insulin lispro (day 529, for 121 days); insulin glargine (day 529, for 121 days); insulin lispro "/>
    <m/>
  </r>
  <r>
    <x v="0"/>
    <n v="3525210465"/>
    <n v="56"/>
    <s v="Male"/>
    <s v="-3534 days - 923 days"/>
    <m/>
    <s v="Pain of knee region (EHR); Type 1 diabetes mellitus (EHR);"/>
    <m/>
    <m/>
    <s v="Type 1 diabetes mellitus (day -1266)"/>
    <s v="insulin, regular, human (day -1266, for 69 days); insulin isophane (day -1266, for 69 days); insulin isophane (day -883, for 27 days); insulin, regular, human (day -883, for 27 days); insulin isophane (day -758, for 27 days); insulin, regular, human (day "/>
    <m/>
    <m/>
    <m/>
    <m/>
    <m/>
    <m/>
    <s v="insulin, regular, human (day 103, for 27 days); insulin isophane (day 103, for 27 days); insulin, regular, human (day 187, for 27 days); insulin isophane (day 187, for 27 days); insulin isophane (day 264, for 57 days); insulin, regular, human (day 264, fo"/>
    <m/>
  </r>
  <r>
    <x v="0"/>
    <n v="2010394"/>
    <n v="33"/>
    <s v="Male"/>
    <s v="-1662 days - 3112 days"/>
    <s v="Office Visit-&gt;Office Visit"/>
    <s v="Type 1 diabetes mellitus (EHR); Type 1 diabetes mellitus (EHR);"/>
    <m/>
    <m/>
    <m/>
    <s v="insulin isophane (day -1654, for 27 days); insulin, regular, human (day -1654, for 27 days); insulin, regular, human (day -1581, for 161 days); insulin isophane (day -1581, for 163 days); insulin isophane (day -1366, for 84 days); insulin, regular, human "/>
    <m/>
    <m/>
    <m/>
    <m/>
    <s v="Disorder of eye due to type 1 diabetes mellitus (day 1141); Type 1 diabetes mellitus (day 105)"/>
    <m/>
    <s v="insulin isophane (day 78, for 88 days); insulin, regular, human (day 78, for 88 days); insulin, regular, human (day 212, for 27 days); insulin isophane (day 212, for 27 days); insulin, regular, human (day 279, for 257 days); insulin isophane (day 279, for"/>
    <m/>
  </r>
  <r>
    <x v="0"/>
    <n v="62910668"/>
    <n v="59"/>
    <s v="Male"/>
    <s v="-3237 days - 2951 days"/>
    <s v="Office Visit-&gt;Office Visit"/>
    <s v="Type 1 diabetes mellitus (EHR);"/>
    <s v="Essential hypertension (day -2509)"/>
    <m/>
    <m/>
    <m/>
    <m/>
    <m/>
    <s v="HbA1c measurement (DCCT aligned) (11 percent, day 0); HbA1c measurement (DCCT aligned) (97 millimole per mole, day 0);"/>
    <m/>
    <s v="Type 1 diabetes mellitus (day 392, 803)"/>
    <m/>
    <s v="insulin glargine (day 66, for 27 days); insulin aspart, human (day 66, for 27 days); insulin aspart, human (day 158, for 0 days); insulin glargine (day 180, for 0 days); insulin aspart, human (day 223, for 0 days); insulin aspart, human (day 279, for 0 da"/>
    <m/>
  </r>
  <r>
    <x v="0"/>
    <n v="75310568"/>
    <n v="54"/>
    <s v="Female"/>
    <s v="-871 days - 493 days"/>
    <s v="Office Visit"/>
    <s v="Type 1 diabetes mellitus (EHR);"/>
    <s v="Diabetes mellitus (day -222)"/>
    <m/>
    <s v="Skin ulcer due to diabetes mellitus (day -222)"/>
    <s v="metformin (day -639, for 439 days); insulin, regular, human (day -220, for 182 days);"/>
    <m/>
    <m/>
    <s v="HbA1c measurement (DCCT aligned) (0 , day 27);"/>
    <m/>
    <m/>
    <m/>
    <s v="metformin (day 2, for 68 days); insulin, regular, human (day 8, for 126 days); metformin (day 111, for 27 days); insulin, regular, human (day 219, for 274 days); insulin isophane (day 250, for 27 days); insulin isophane (day 393, for 27 days);"/>
    <m/>
  </r>
  <r>
    <x v="0"/>
    <n v="120310166"/>
    <n v="33"/>
    <s v="Female"/>
    <s v="-5336 days - 3561 days"/>
    <s v="Office Visit"/>
    <s v="Type 1 diabetes mellitus (EHR);"/>
    <s v="Diabetes mellitus (day -3540); Family history of diabetes mellitus (day -3214, -1877)"/>
    <m/>
    <s v="Disorder of right macula due to diabetes mellitus (day -484); Nonproliferative retinopathy due to diabetes mellitus (day -2041); Nonproliferative retinopathy of left eye due to diabetes mellitus (day -484); Nonproliferative retinopathy of right eye due to"/>
    <s v="insulin, regular, human (day -5335, for 122 days); insulin isophane (day -5333, for 95 days); insulin lispro (day -5214, for 1975 days); insulin isophane (day -5185, for 1666 days); insulin glargine (day -3540, for 299 days); insulin lispro (day -3106, fo"/>
    <m/>
    <m/>
    <m/>
    <s v="Disorder of right macula due to diabetes mellitus (day 20); Nonproliferative retinopathy of left eye due to diabetes mellitus (day 20); Nonproliferative retinopathy of right eye due to diabetes mellitus (day 20)"/>
    <s v="Disorder of right macula due to diabetes mellitus (day 20); Nonproliferative retinopathy of left eye due to diabetes mellitus (day 20, 601, 975, 1507, 1885, 2947, 3437); Nonproliferative retinopathy of right eye due to diabetes mellitus (day 20, 975, 1507"/>
    <m/>
    <s v="insulin lispro (day 38, for 4 days); insulin lispro (day 94, for 4 days); insulin detemir (day 94, for 0 days); insulin detemir (day 146, for 0 days); insulin lispro (day 146, for 4 days); insulin lispro (day 225, for 27 days); insulin detemir (day 248, f"/>
    <m/>
  </r>
  <r>
    <x v="1"/>
    <n v="319810053"/>
    <n v="13"/>
    <s v="Male"/>
    <s v="-1520 days - 2785 days"/>
    <s v="Office Visit-&gt;Office Visit"/>
    <s v="Type 1 diabetes mellitus (EHR); Type 1 diabetes mellitus (EHR);"/>
    <m/>
    <m/>
    <m/>
    <m/>
    <m/>
    <m/>
    <s v="Glucose measurement, blood (31.1 millimole per liter, abnormal - high, day 0); Urine screening for glucose (day 0); HbA1c measurement (DCCT aligned) (10.1 international unit per liter, abnormal - high, day 3);"/>
    <m/>
    <s v="Diabetic ketoacidosis (day 2134); Type 1 diabetes mellitus (day 1666)"/>
    <m/>
    <s v="insulin isophane (day 4, for 628 days); insulin, regular, human (day 4, for 628 days); insulin isophane (day 665, for 583 days); insulin, regular, human (day 665, for 583 days); insulin aspart, human (day 1159, for 61 days); insulin glargine (day 1159, fo"/>
    <m/>
  </r>
  <r>
    <x v="0"/>
    <n v="341210634"/>
    <n v="17"/>
    <s v="Male"/>
    <s v="-187 days - 8514 days"/>
    <s v="Office Visit"/>
    <s v="Type 1 diabetes mellitus (EHR);"/>
    <m/>
    <m/>
    <m/>
    <s v="insulin, regular, human (day -179, for 62 days); insulin, regular, human (day -84, for 27 days);"/>
    <m/>
    <m/>
    <m/>
    <m/>
    <s v="Nonproliferative retinopathy of left eye due to diabetes mellitus (day 7427, 7827); Nonproliferative retinopathy of right eye due to diabetes mellitus (day 7434, 7827)"/>
    <m/>
    <s v="insulin, regular, human (day 0, for 27 days); insulin, regular, human (day 66, for 27 days); insulin, regular, human (day 128, for 181 days); insulin isophane (day 240, for 27 days); insulin, regular, human (day 351, for 139 days); insulin, regular, human"/>
    <m/>
  </r>
  <r>
    <x v="2"/>
    <n v="362110891"/>
    <n v="40"/>
    <s v="Male"/>
    <s v="-1928 days - 7690 days"/>
    <m/>
    <s v="Type 1 diabetes mellitus (EHR);"/>
    <s v="Type 2 diabetes mellitus without complication (day -1775, -666)"/>
    <m/>
    <s v="Type 1 diabetes mellitus without complication (day -1787)"/>
    <s v="insulin, regular, human (day -1775, for 29 days); insulin isophane (day -1676, for 84 days); insulin isophane (day -1547, for 192 days); insulin isophane (day -1313, for 125 days); insulin isophane (day -1116, for 433 days); insulin isophane (day -640, fo"/>
    <m/>
    <m/>
    <m/>
    <m/>
    <s v="Nonproliferative retinopathy of left eye due to diabetes mellitus (day 5528, 6958); Nonproliferative retinopathy of right eye due to diabetes mellitus (day 5528, 6958); Proliferative retinopathy due to diabetes mellitus (day 2254); Type 1 diabetes mellitu"/>
    <m/>
    <s v="insulin isophane (day 766, for 561 days); insulin isophane (day 1368, for 437 days); insulin isophane (day 1852, for 111 days); insulin isophane (day 2014, for 224 days); insulin isophane (day 2275, for 55 days); insulin isophane (day 2391, for 120 days);"/>
    <m/>
  </r>
  <r>
    <x v="0"/>
    <n v="370010311"/>
    <n v="79"/>
    <s v="Male"/>
    <s v="-549 days - 605 days"/>
    <s v="Office Visit"/>
    <s v="Type 1 diabetes mellitus (EHR);"/>
    <m/>
    <m/>
    <m/>
    <s v="insulin, regular, human (day -505, for 1058 days); insulin isophane (day -505, for 1058 days);"/>
    <m/>
    <m/>
    <m/>
    <m/>
    <m/>
    <m/>
    <m/>
    <m/>
  </r>
  <r>
    <x v="0"/>
    <n v="461910966"/>
    <n v="31"/>
    <s v="Male"/>
    <s v="-10893 days - 2316 days"/>
    <s v="Office Visit"/>
    <s v="Type 1 diabetes mellitus (EHR);"/>
    <m/>
    <m/>
    <m/>
    <m/>
    <m/>
    <m/>
    <m/>
    <m/>
    <m/>
    <m/>
    <s v="insulin lispro protamine, human (day 0, for 0 days); insulin lispro (day 0, for 0 days); insulin degludec (day 52, for 28 days); insulin aspart, human (day 52, for 28 days); insulin aspart, human (day 111, for 0 days); insulin degludec (day 111, for 0 day"/>
    <m/>
  </r>
  <r>
    <x v="0"/>
    <n v="515410701"/>
    <n v="58"/>
    <s v="Female"/>
    <s v="-59 days - 6072 days"/>
    <s v="Office Visit"/>
    <s v="Type 1 diabetes mellitus (EHR); Type 2 diabetes mellitus (EHR);"/>
    <m/>
    <m/>
    <m/>
    <s v="insulin isophane (day -32, for 335 days);"/>
    <m/>
    <m/>
    <m/>
    <s v="Type 2 diabetes mellitus (day 0)"/>
    <s v="Nonproliferative retinopathy of right eye due to diabetes mellitus (day 2733); Preproliferative retinopathy of left eye due to diabetes mellitus (day 2847); Preproliferative retinopathy of right eye due to diabetes mellitus (day 2847)"/>
    <m/>
    <s v="insulin isophane (day 335, for 340 days); insulin glargine (day 662, for 43 days); insulin aspart protamine, human (day 690, for 1248 days); insulin aspart, human (day 690, for 1248 days); metformin (day 721, for 761 days); metformin (day 1516, for 409 da"/>
    <m/>
  </r>
  <r>
    <x v="0"/>
    <n v="603810956"/>
    <n v="18"/>
    <s v="Female"/>
    <s v="-1360 days - 114 days"/>
    <s v="Office Visit"/>
    <s v="Type 1 diabetes mellitus (EHR);"/>
    <m/>
    <m/>
    <m/>
    <s v="insulin, regular, human (day -722, for 29 days); insulin isophane (day -722, for 27 days);"/>
    <m/>
    <m/>
    <m/>
    <m/>
    <m/>
    <m/>
    <m/>
    <m/>
  </r>
  <r>
    <x v="2"/>
    <n v="689210365"/>
    <n v="71"/>
    <s v="Male"/>
    <s v="-616 days - 4781 days"/>
    <s v="Office Visit-&gt;Office Visit"/>
    <s v="Type 1 diabetes mellitus (EHR); Type 1 diabetes mellitus (EHR);"/>
    <s v="Type 2 diabetes mellitus (day -275)"/>
    <m/>
    <m/>
    <s v="metformin (day -535, for 27 days); metformin (day -468, for 27 days); metformin (day -401, for 27 days); metformin (day -343, for 27 days); metformin (day -275, for 27 days); metformin (day -147, for 80 days); rosiglitazone (day -52, for 52 days); metform"/>
    <m/>
    <m/>
    <s v="Glucose measurement, blood (13.3 millimole per liter, abnormal - high, day -8); HbA1c measurement (DCCT aligned) (10.6 percent, day -7);"/>
    <m/>
    <s v="Neuropathic arthropathy due to diabetes mellitus (day 2801); Retinopathy due to diabetes mellitus (day 1747, 2909); Type 1 diabetes mellitus (day 116, 174)"/>
    <m/>
    <s v="insulin isophane (day 0, for 29 days); insulin, regular, human (day 25, for 27 days); insulin, regular, human (day 118, for 83 days); insulin isophane (day 121, for 29 days); insulin isophane (day 263, for 29 days); insulin isophane (day 370, for 29 days)"/>
    <m/>
  </r>
  <r>
    <x v="1"/>
    <n v="726310128"/>
    <n v="17"/>
    <s v="Female"/>
    <s v="-2750 days - 3041 days"/>
    <s v="Office Visit"/>
    <s v="Type 1 diabetes mellitus (EHR);"/>
    <m/>
    <m/>
    <m/>
    <m/>
    <m/>
    <m/>
    <s v="Glucose measurement, blood (33.2 millimole per liter, day 0);"/>
    <m/>
    <m/>
    <m/>
    <s v="insulin detemir (day 7, for 0 days); insulin aspart, human (day 7, for 0 days); insulin aspart, human (day 41, for 0 days); insulin detemir (day 41, for 0 days); insulin detemir (day 154, for 22 days); insulin aspart, human (day 154, for 22 days); insulin"/>
    <m/>
  </r>
  <r>
    <x v="0"/>
    <n v="740710960"/>
    <n v="12"/>
    <s v="Female"/>
    <s v="-4109 days - 3892 days"/>
    <s v="Office Visit"/>
    <s v="Type 1 diabetes mellitus (EHR);"/>
    <m/>
    <m/>
    <m/>
    <m/>
    <m/>
    <m/>
    <s v="HbA1c measurement (DCCT aligned) (102 millimole per mole, day 0);"/>
    <m/>
    <s v="Nonproliferative retinopathy of left eye due to diabetes mellitus (day 1909, 2798, 3771)"/>
    <m/>
    <s v="insulin detemir (day 7, for 29 days); insulin aspart, human (day 7, for 27 days); insulin glargine (day 64, for 0 days); insulin aspart, human (day 75, for 27 days); insulin glargine (day 103, for 0 days); insulin aspart, human (day 135, for 548 days); in"/>
    <m/>
  </r>
  <r>
    <x v="1"/>
    <n v="741610129"/>
    <n v="24"/>
    <s v="Male"/>
    <s v="-269 days - 3335 days"/>
    <s v="Office Visit"/>
    <s v="Type 1 diabetes mellitus (EHR);"/>
    <s v="Diabetes mellitus (day -269)"/>
    <m/>
    <m/>
    <s v="insulin lispro (day -259, for 922 days); insulin lispro protamine, human (day -259, for 922 days);"/>
    <m/>
    <m/>
    <s v="HbA1c measurement (DCCT aligned) (14 percent, abnormal - high, day -17);"/>
    <m/>
    <s v="Ketoacidosis due to type 1 diabetes mellitus (day 372); Proliferative retinopathy of right eye with diabetes mellitus (day 1331)"/>
    <m/>
    <s v="insulin lispro (day 714, for 363 days); insulin lispro protamine, human (day 714, for 363 days); insulin lispro protamine, human (day 1127, for 95 days); insulin lispro (day 1127, for 95 days); insulin lispro (day 1266, for 342 days); insulin lispro prota"/>
    <m/>
  </r>
  <r>
    <x v="2"/>
    <n v="795410971"/>
    <n v="2"/>
    <s v="Female"/>
    <s v="-721 days - 3490 days"/>
    <s v="Office Visit"/>
    <s v="Type 1 diabetes mellitus (EHR);"/>
    <m/>
    <m/>
    <m/>
    <m/>
    <m/>
    <m/>
    <s v="HbA1c measurement (DCCT aligned) (31 millimole per mole, day 0);"/>
    <m/>
    <m/>
    <m/>
    <m/>
    <m/>
  </r>
  <r>
    <x v="0"/>
    <n v="818210372"/>
    <n v="57"/>
    <s v="Male"/>
    <s v="-844 days - 6331 days"/>
    <s v="Office Visit"/>
    <s v="Type 1 diabetes mellitus (EHR);"/>
    <m/>
    <m/>
    <m/>
    <s v="insulin isophane (day -690, for 24 days); insulin, regular, pork (day -690, for 24 days); insulin, regular, pork (day -598, for 24 days); insulin isophane (day -598, for 24 days); insulin, regular, human (day -514, for 27 days); insulin, regular, pork (da"/>
    <m/>
    <m/>
    <s v="Urine dipstick for glucose (Nil, day 1);"/>
    <m/>
    <m/>
    <m/>
    <s v="insulin isophane (day 15, for 24 days); insulin, regular, pork (day 15, for 24 days); insulin, regular, pork (day 127, for 24 days); insulin isophane (day 127, for 24 days); insulin, regular, pork (day 282, for 24 days); insulin isophane (day 282, for 24 "/>
    <m/>
  </r>
  <r>
    <x v="0"/>
    <n v="826210737"/>
    <n v="3"/>
    <s v="Female"/>
    <s v="-1045 days - 1862 days"/>
    <s v="Office Visit"/>
    <s v="Type 1 diabetes mellitus (EHR);"/>
    <m/>
    <m/>
    <m/>
    <m/>
    <m/>
    <m/>
    <m/>
    <m/>
    <m/>
    <m/>
    <s v="insulin, regular, human (day 53, for 2 days); insulin isophane (day 53, for 2 days); insulin aspart, human (day 83, for 27 days); insulin detemir (day 159, for 41 days); insulin aspart, human (day 173, for 27 days); insulin, regular, human (day 246, for 2"/>
    <m/>
  </r>
  <r>
    <x v="0"/>
    <n v="870510178"/>
    <n v="60"/>
    <s v="Male"/>
    <s v="-109 days - 9765 days"/>
    <s v="Office Visit-&gt;Office Visit"/>
    <s v="Type 1 diabetes mellitus (EHR);"/>
    <m/>
    <m/>
    <m/>
    <m/>
    <m/>
    <m/>
    <m/>
    <s v="Diabetes mellitus (day 74)"/>
    <s v="Nonproliferative retinopathy of right eye due to diabetes mellitus (day 9193); Type 1 diabetes mellitus (day 2279, 8866)"/>
    <m/>
    <s v="insulin, regular, human (day 74, for 29 days); insulin isophane (day 74, for 27 days); insulin isophane (day 176, for 27 days); insulin, regular, human (day 176, for 29 days); insulin, regular, human (day 312, for 29 days); insulin isophane (day 312, for "/>
    <m/>
  </r>
  <r>
    <x v="0"/>
    <n v="888710791"/>
    <n v="12"/>
    <s v="Female"/>
    <s v="-4300 days - 2667 days"/>
    <s v="Office Visit-&gt;Office Visit"/>
    <s v="Type 1 diabetes mellitus (EHR);"/>
    <m/>
    <m/>
    <m/>
    <m/>
    <m/>
    <m/>
    <s v="HbA1c measurement (DCCT aligned) (100 millimole per mole, day 0);"/>
    <m/>
    <m/>
    <m/>
    <s v="insulin detemir (day 2, for 27 days); insulin aspart, human (day 2, for 27 days); insulin aspart, human (day 61, for 815 days); insulin detemir (day 96, for 450 days); insulin detemir (day 610, for 266 days); insulin aspart, human (day 929, for 1742 days)"/>
    <m/>
  </r>
  <r>
    <x v="2"/>
    <n v="932610840"/>
    <n v="13"/>
    <s v="Female"/>
    <s v="-2926 days - 3431 days"/>
    <s v="Office Visit"/>
    <s v="Type 1 diabetes mellitus (EHR);"/>
    <s v="Steroid-induced diabetes (day -64)"/>
    <m/>
    <m/>
    <m/>
    <m/>
    <m/>
    <s v="HbA1c measurement (DCCT aligned) (30 millimole per mole, day 21);"/>
    <s v="Steroid-induced diabetes (day -64)"/>
    <m/>
    <m/>
    <s v="insulin detemir (day 0, for 27 days); insulin aspart, human (day 0, for 27 days);"/>
    <m/>
  </r>
  <r>
    <x v="1"/>
    <n v="954410764"/>
    <n v="19"/>
    <s v="Female"/>
    <s v="-3400 days - 4459 days"/>
    <s v="Office Visit-&gt;Office Visit"/>
    <s v="Type 1 diabetes mellitus (EHR);"/>
    <m/>
    <m/>
    <m/>
    <m/>
    <m/>
    <m/>
    <s v="Glucose measurement, blood (14.3 millimole per liter, abnormal - high, day -1); HbA1c measurement (DCCT aligned) (14.8 percent, abnormal - high, day -1); HbA1c measurement (DCCT aligned) (0 , day -1); HbA1c measurement (DCCT aligned) (10.6 , day 1);"/>
    <m/>
    <m/>
    <m/>
    <s v="insulin detemir (day 0, for 64 days); insulin aspart, human (day 0, for 37 days); insulin aspart, human (day 70, for 14 days); insulin aspart, human (day 128, for 21 days); insulin detemir (day 128, for 273 days); insulin aspart, human (day 181, for 0 day"/>
    <m/>
  </r>
  <r>
    <x v="1"/>
    <n v="959010761"/>
    <n v="9"/>
    <s v="Female"/>
    <s v="-3233 days - 5447 days"/>
    <s v="Office Visit"/>
    <s v="Type 1 diabetes mellitus (EHR);"/>
    <s v="Candidiasis of mouth (day -2750)"/>
    <m/>
    <m/>
    <m/>
    <m/>
    <m/>
    <m/>
    <m/>
    <s v="Ketoacidosis due to type 1 diabetes mellitus (day 3149); Nonproliferative retinopathy of left eye due to diabetes mellitus (day 1262, 1968, 4751, 4852); Nonproliferative retinopathy of right eye due to diabetes mellitus (day 4299, 4751, 4852)"/>
    <m/>
    <s v="insulin isophane (day 5, for 97 days); insulin aspart, human (day 5, for 0 days); insulin, regular, human (day 5, for 97 days); insulin detemir (day 5, for 21 days); insulin detemir (day 92, for 28 days); insulin aspart, human (day 93, for 27 days); insul"/>
    <m/>
  </r>
  <r>
    <x v="0"/>
    <n v="1084310679"/>
    <n v="14"/>
    <s v="Male"/>
    <s v="-3543 days - 3451 days"/>
    <s v="Office Visit"/>
    <s v="Type 1 diabetes mellitus (EHR);"/>
    <m/>
    <m/>
    <m/>
    <m/>
    <m/>
    <m/>
    <m/>
    <s v="Subcapsular cataract (day 48)"/>
    <m/>
    <m/>
    <s v="insulin detemir (day 13, for 0 days); insulin aspart, human (day 13, for 3428 days); insulin detemir (day 67, for 0 days); insulin detemir (day 132, for 0 days); insulin detemir (day 173, for 0 days); insulin detemir (day 237, for 0 days); insulin detemir"/>
    <m/>
  </r>
  <r>
    <x v="0"/>
    <n v="1084510775"/>
    <n v="14"/>
    <s v="Female"/>
    <s v="-810 days - 5711 days"/>
    <s v="Office Visit"/>
    <s v="Type 1 diabetes mellitus (EHR);"/>
    <s v="Diabetes mellitus (day -807)"/>
    <m/>
    <m/>
    <s v="insulin isophane (day -795, for 121 days); insulin, regular, human (day -795, for 121 days); insulin, regular, human (day -639, for 29 days); insulin isophane (day -639, for 29 days); insulin, regular, human (day -568, for 29 days); insulin isophane (day "/>
    <m/>
    <m/>
    <s v="HbA1c measurement (DCCT aligned) (9.5 , day -18);"/>
    <m/>
    <s v="Disorder of left macula due to diabetes mellitus (day 3076); Disorder of right macula due to diabetes mellitus (day 4175); Nonproliferative retinopathy of left eye due to diabetes mellitus (day 3076, 3245, 4175); Nonproliferative retinopathy of right eye "/>
    <m/>
    <s v="insulin, regular, human (day 3, for 29 days); insulin aspart, human (day 3, for 27 days); insulin isophane (day 3, for 29 days); insulin aspart, human (day 73, for 93 days); insulin isophane (day 73, for 95 days); insulin, regular, human (day 73, for 95 d"/>
    <m/>
  </r>
  <r>
    <x v="1"/>
    <n v="1086910999"/>
    <n v="27"/>
    <s v="Male"/>
    <s v="-6397 days - 478 days"/>
    <s v="Office Visit"/>
    <s v="Type 1 diabetes mellitus (EHR);"/>
    <m/>
    <m/>
    <m/>
    <m/>
    <m/>
    <m/>
    <s v="Glucose measurement, blood (17.5 millimole per liter, abnormal - high, day -2); HbA1c measurement (DCCT aligned) (127 millimole per mole, abnormal - high, day -2); HbA1c measurement (DCCT aligned) (day -2); Glucose measurement, blood (day -2);"/>
    <m/>
    <m/>
    <m/>
    <s v="insulin aspart, human (day 7, for 20 days); insulin degludec (day 7, for 20 days); insulin aspart, human (day 96, for 0 days); insulin degludec (day 96, for 0 days); insulin aspart, human (day 166, for 30 days); insulin degludec (day 195, for 0 days); ins"/>
    <m/>
  </r>
  <r>
    <x v="1"/>
    <n v="1377210629"/>
    <n v="50"/>
    <s v="Female"/>
    <s v="-364 days - 824 days"/>
    <s v="Office Visit"/>
    <s v="Type 1 diabetes mellitus (EHR);"/>
    <s v="Family history of diabetes mellitus (day -358)"/>
    <m/>
    <m/>
    <m/>
    <m/>
    <m/>
    <s v="Glucose measurement, blood (15 millimole per liter, day -9); HbA1c measurement (DCCT aligned) (10.9 percent, day 7);"/>
    <m/>
    <m/>
    <m/>
    <s v="insulin aspart, human (day 0, for 0 days); insulin aspart protamine, human (day 0, for 0 days); insulin aspart protamine, human (day 140, for 11 days); insulin aspart, human (day 140, for 11 days); insulin aspart, human (day 195, for 0 days); insulin aspa"/>
    <m/>
  </r>
  <r>
    <x v="1"/>
    <n v="1559910397"/>
    <n v="13"/>
    <s v="Male"/>
    <s v="-1271 days - 1814 days"/>
    <s v="Office Visit-&gt;Office Visit"/>
    <s v="Type 1 diabetes mellitus (EHR);"/>
    <m/>
    <m/>
    <m/>
    <s v="insulin aspart, human (day -6, for 27 days); insulin isophane (day -6, for 46 days); insulin, regular, human (day -6, for 46 days);"/>
    <m/>
    <m/>
    <s v="Glucose measurement, blood (18.4 millimole per liter, day -11);"/>
    <m/>
    <s v="Type 1 diabetes mellitus (day 409)"/>
    <m/>
    <s v="insulin aspart, human (day 101, for 27 days); insulin aspart protamine, human (day 101, for 27 days); insulin aspart, human (day 164, for 72 days); insulin aspart protamine, human (day 164, for 72 days); insulin lispro protamine, human (day 245, for 105 d"/>
    <m/>
  </r>
  <r>
    <x v="0"/>
    <n v="1602410226"/>
    <n v="27"/>
    <s v="Female"/>
    <s v="-76 days - 421 days"/>
    <s v="Office Visit"/>
    <s v="Type 1 diabetes mellitus (EHR);"/>
    <m/>
    <m/>
    <m/>
    <s v="insulin aspart, human (day -63, for 380 days); insulin isophane (day -63, for 182 days);"/>
    <m/>
    <m/>
    <s v="HbA1c measurement (DCCT aligned) (8.6 percent, day -12); HbA1c measurement (DCCT aligned) (71 millimole per mole, day -12);"/>
    <m/>
    <m/>
    <m/>
    <s v="insulin glargine (day 109, for 0 days); insulin glargine (day 141, for 27 days); insulin glargine (day 207, for 0 days); insulin glargine (day 245, for 25 days); insulin aspart, human (day 354, for 69 days); insulin glargine (day 354, for 0 days);"/>
    <m/>
  </r>
  <r>
    <x v="0"/>
    <n v="1620610573"/>
    <n v="63"/>
    <s v="Female"/>
    <s v="-946 days - 477 days"/>
    <s v="Office Visit"/>
    <s v="Type 1 diabetes mellitus (EHR);"/>
    <s v="Bilateral cataracts (day -896); Diabetes mellitus (day -919)"/>
    <m/>
    <m/>
    <s v="insulin isophane (day -490, for 54 days); insulin isophane (day -362, for 68 days); insulin isophane (day -247, for 27 days); insulin isophane (day -163, for 27 days);"/>
    <m/>
    <m/>
    <m/>
    <m/>
    <m/>
    <m/>
    <s v="insulin isophane (day 47, for 82 days); insulin isophane (day 246, for 27 days); insulin isophane (day 335, for 7 days); insulin isophane (day 415, for 87 days);"/>
    <m/>
  </r>
  <r>
    <x v="1"/>
    <n v="1675410922"/>
    <n v="31"/>
    <s v="Male"/>
    <s v="-2528 days - 653 days"/>
    <s v="Office Visit"/>
    <s v="Type 1 diabetes mellitus (EHR);"/>
    <m/>
    <m/>
    <m/>
    <m/>
    <m/>
    <m/>
    <s v="HbA1c measurement (DCCT aligned) (89 millimole per mole, abnormal - high, day 14); Glucose measurement, blood (19.6 millimole per liter, day 14); Glucose measurement, blood (20.9 millimole per liter, abnormal - high, day 14); Glucose measurement, blood (d"/>
    <m/>
    <m/>
    <m/>
    <s v="insulin detemir (day 14, for 35 days); insulin aspart, human (day 19, for 27 days); metformin (day 22, for 27 days); insulin aspart, human (day 90, for 0 days); insulin degludec (day 90, for 0 days); insulin degludec (day 131, for 0 days); insulin aspart,"/>
    <m/>
  </r>
  <r>
    <x v="1"/>
    <n v="1759410412"/>
    <n v="68"/>
    <s v="Female"/>
    <s v="-36 days - 1386 days"/>
    <s v="Office Visit"/>
    <s v="Type 1 diabetes mellitus (EHR);"/>
    <s v="Ketoacidosis (day -35)"/>
    <m/>
    <m/>
    <m/>
    <m/>
    <m/>
    <m/>
    <s v="Ketoacidosis (day -35)"/>
    <s v="Disorder of macula due to diabetes mellitus (day 879); Disorder of nervous system due to diabetes mellitus (day 125); Peripheral vascular disorder due to diabetes mellitus (day 125)"/>
    <m/>
    <s v="insulin aspart, human (day 0, for 29 days); insulin glargine (day 65, for 51 days); insulin aspart, human (day 65, for 51 days); insulin aspart, human (day 174, for 27 days); insulin glargine (day 174, for 27 days); insulin glargine (day 250, for 27 days)"/>
    <m/>
  </r>
  <r>
    <x v="1"/>
    <n v="1833510766"/>
    <n v="4"/>
    <s v="Female"/>
    <s v="-1405 days - 5656 days"/>
    <s v="Office Visit"/>
    <s v="Type 1 diabetes mellitus (EHR);"/>
    <m/>
    <m/>
    <m/>
    <m/>
    <m/>
    <m/>
    <s v="HbA1c measurement (DCCT aligned) (9.7 , day -1);"/>
    <m/>
    <s v="Ketoacidosis due to type 1 diabetes mellitus (day 4718)"/>
    <m/>
    <s v="insulin, regular, human (day 2, for 28 days); insulin isophane (day 2, for 28 days); insulin lispro (day 58, for 27 days); insulin isophane (day 75, for 27 days); insulin, regular, human (day 75, for 27 days); insulin, regular, human (day 191, for 133 day"/>
    <m/>
  </r>
  <r>
    <x v="0"/>
    <n v="2079410115"/>
    <n v="48"/>
    <s v="Female"/>
    <s v="-6 days - 554 days"/>
    <s v="Office Visit-&gt;Office Visit"/>
    <s v="Type 1 diabetes mellitus (EHR); Type 1 diabetes mellitus (EHR);"/>
    <m/>
    <m/>
    <m/>
    <m/>
    <m/>
    <m/>
    <s v="HbA1c measurement (DCCT aligned) (63 millimole per mole, day 30);"/>
    <m/>
    <s v="Type 1 diabetes mellitus (day 161, 196, 275, 336, 497)"/>
    <m/>
    <s v="insulin aspart, human (day 6, for 0 days); insulin degludec (day 6, for 0 days); insulin aspart, human (day 75, for 0 days); insulin degludec (day 75, for 0 days); insulin degludec (day 142, for 0 days); insulin aspart, human (day 142, for 0 days); insuli"/>
    <m/>
  </r>
  <r>
    <x v="0"/>
    <n v="2134710591"/>
    <n v="41"/>
    <s v="Female"/>
    <s v="-2335 days - 2494 days"/>
    <s v="Office Visit"/>
    <s v="Type 1 diabetes mellitus (EHR);"/>
    <s v="Family history of diabetes mellitus (day -2328)"/>
    <m/>
    <m/>
    <m/>
    <m/>
    <m/>
    <m/>
    <m/>
    <m/>
    <m/>
    <s v="insulin lispro (day 0, for 0 days); insulin lispro (day 53, for 0 days); metformin (day 53, for 104 days); insulin lispro (day 102, for 0 days); metformin (day 223, for 55 days); insulin lispro (day 223, for 19 days); insulin lispro (day 311, for 0 days);"/>
    <m/>
  </r>
  <r>
    <x v="2"/>
    <n v="2335110194"/>
    <n v="56"/>
    <s v="Male"/>
    <s v="-1133 days - 5348 days"/>
    <s v="Office Visit-&gt;Office Visit"/>
    <s v="Type 1 diabetes mellitus (EHR);"/>
    <s v="Diabetes mellitus (day -1125); Type 2 diabetes mellitus (day -1125, -726)"/>
    <m/>
    <s v="Neuropathy due to diabetes mellitus (day -169); Retinopathy due to diabetes mellitus (day -978, -414)"/>
    <s v="metformin (day -1125, for 817 days); glyburide (day -1125, for 232 days); glyburide (day -847, for 342 days); metformin (day -260, for 1353 days); acarbose (day -85, for 845 days);"/>
    <m/>
    <m/>
    <s v="HbA1c measurement (DCCT aligned) (10.2 percent, abnormal - high, day -11); Glucose measurement, blood (12.3 millimole per liter, day -11);"/>
    <m/>
    <s v="Disorder of right macula due to diabetes mellitus (day 4250); Neuropathy due to diabetes mellitus (day 532, 3377); Nonproliferative retinopathy of left eye due to diabetes mellitus (day 3762); Nonproliferative retinopathy of right eye due to diabetes mell"/>
    <m/>
    <s v="insulin isophane (day 0, for 42 days); insulin isophane (day 94, for 67 days); insulin isophane (day 204, for 258 days); insulin isophane (day 497, for 590 days); acarbose (day 806, for 91 days); acarbose (day 933, for 162 days); metformin (day 1136, for "/>
    <m/>
  </r>
  <r>
    <x v="1"/>
    <n v="2482010040"/>
    <n v="39"/>
    <s v="Male"/>
    <s v="-25 days - 235 days"/>
    <s v="Office Visit"/>
    <s v="Type 1 diabetes mellitus (EHR);"/>
    <s v="Diabetes mellitus (day -3); Family history of diabetes mellitus (day -3)"/>
    <m/>
    <m/>
    <s v="insulin aspart, human (day -10, for 28 days); insulin glargine (day -10, for 55 days);"/>
    <m/>
    <m/>
    <s v="Urine screening for glucose (day -14); Urine screening for glucose (day -11); Serum fasting glucose measurement (11.5 millimole per liter, abnormal - high, day -6);"/>
    <s v="Diabetes mellitus (day -3)"/>
    <m/>
    <m/>
    <s v="insulin glargine (day 147, for 27 days);"/>
    <m/>
  </r>
  <r>
    <x v="0"/>
    <n v="2489610789"/>
    <n v="21"/>
    <s v="Female"/>
    <s v="-166 days - 589 days"/>
    <s v="Office Visit-&gt;Office Visit"/>
    <s v="Type 1 diabetes mellitus (EHR);"/>
    <m/>
    <m/>
    <m/>
    <m/>
    <m/>
    <m/>
    <m/>
    <m/>
    <s v="Type 1 diabetes mellitus (day 243)"/>
    <m/>
    <s v="insulin detemir (day 370, for 37 days); insulin lispro (day 425, for 0 days); insulin detemir (day 474, for 27 days); insulin lispro (day 474, for 0 days); insulin lispro (day 565, for 27 days);"/>
    <m/>
  </r>
  <r>
    <x v="0"/>
    <n v="2615910492"/>
    <n v="29"/>
    <s v="Male"/>
    <s v="-3 days - 1341 days"/>
    <s v="Office Visit"/>
    <s v="Type 1 diabetes mellitus (EHR);"/>
    <m/>
    <m/>
    <m/>
    <m/>
    <m/>
    <m/>
    <m/>
    <s v="Nonproliferative retinopathy due to diabetes mellitus (day 17)"/>
    <s v="Disorder of left macula due to diabetes mellitus (day 1212); Disorder of right macula due to diabetes mellitus (day 291, 1212); Nonproliferative retinopathy due to diabetes mellitus (day 17, 540); Nonproliferative retinopathy of left eye due to diabetes m"/>
    <m/>
    <s v="insulin aspart, human (day 0, for 0 days); insulin glargine (day 0, for 0 days); insulin aspart, human (day 78, for 0 days); insulin glargine (day 78, for 0 days); insulin aspart, human (day 133, for 0 days); insulin aspart, human (day 231, for 0 days); i"/>
    <m/>
  </r>
  <r>
    <x v="2"/>
    <n v="2723810058"/>
    <n v="72"/>
    <s v="Male"/>
    <s v="-3744 days - 696 days"/>
    <s v="Office Visit"/>
    <s v="Type 1 diabetes mellitus (EHR);"/>
    <s v="Cataract (day -543); Diabetes mellitus (day -3729, -3675, -3640, -3605, -3479, -3256); Family history of diabetes mellitus (day -3736, -158); Type 2 diabetes mellitus (day -3736)"/>
    <m/>
    <s v="Disorder of macula due to diabetes mellitus (day -2651); Neuropathy due to diabetes mellitus (day -3729); Preproliferative retinopathy due to diabetes mellitus (day -543)"/>
    <s v="glipizide (day -3729, for 83 days); metformin (day -3729, for 81 days); glimepiride (day -3675, for 509 days); insulin isophane (day -3632, for 123 days); metformin (day -3606, for 440 days); insulin isophane (day -3442, for 27 days); insulin isophane (da"/>
    <m/>
    <m/>
    <m/>
    <m/>
    <m/>
    <m/>
    <s v="insulin detemir (day 36, for 27 days); insulin glargine (day 57, for 0 days); insulin glargine (day 93, for 81 days); insulin glargine (day 205, for 28 days); insulin glargine (day 266, for 297 days); insulin glargine (day 596, for 82 days);"/>
    <m/>
  </r>
  <r>
    <x v="0"/>
    <n v="2850010979"/>
    <n v="2"/>
    <s v="Male"/>
    <s v="-630 days - 2283 days"/>
    <s v="Office Visit"/>
    <s v="Type 1 diabetes mellitus (EHR);"/>
    <m/>
    <m/>
    <m/>
    <m/>
    <m/>
    <m/>
    <s v="HbA1c measurement (DCCT aligned) (70 millimole per mole, day 27);"/>
    <m/>
    <m/>
    <m/>
    <s v="insulin detemir (day 12, for 0 days); insulin aspart, human (day 12, for 1 days); insulin detemir (day 55, for 0 days); insulin aspart, human (day 55, for 1 days); insulin aspart, human (day 97, for 1 days); insulin detemir (day 97, for 0 days); insulin a"/>
    <m/>
  </r>
  <r>
    <x v="0"/>
    <n v="2946010373"/>
    <n v="31"/>
    <s v="Male"/>
    <s v="-85 days - 2316 days"/>
    <s v="Office Visit-&gt;Office Visit"/>
    <s v="Type 1 diabetes mellitus (EHR);"/>
    <m/>
    <m/>
    <m/>
    <s v="insulin glargine (day -36, for 0 days); insulin aspart, human (day -36, for 0 days);"/>
    <m/>
    <m/>
    <m/>
    <m/>
    <s v="Proliferative retinopathy of left eye due to diabetes mellitus (day 1343); Retinopathy due to type 1 diabetes mellitus (day 1496); Type 1 diabetes mellitus (day 750)"/>
    <m/>
    <s v="insulin aspart, human (day 17, for 0 days); insulin glargine (day 17, for 0 days); insulin aspart, human (day 80, for 0 days); insulin glargine (day 80, for 0 days); insulin glargine (day 182, for 0 days); insulin aspart, human (day 182, for 0 days); insu"/>
    <m/>
  </r>
  <r>
    <x v="0"/>
    <n v="3181110734"/>
    <n v="21"/>
    <s v="Male"/>
    <s v="-1 days - 115 days"/>
    <s v="Office Visit"/>
    <s v="Type 1 diabetes mellitus (EHR);"/>
    <m/>
    <m/>
    <m/>
    <m/>
    <m/>
    <m/>
    <m/>
    <m/>
    <m/>
    <m/>
    <s v="insulin aspart, human (day 0, for 123 days);"/>
    <m/>
  </r>
  <r>
    <x v="1"/>
    <n v="3212210166"/>
    <n v="39"/>
    <s v="Male"/>
    <s v="-11 days - 1130 days"/>
    <s v="Office Visit"/>
    <s v="Type 1 diabetes mellitus (EHR);"/>
    <m/>
    <m/>
    <m/>
    <m/>
    <m/>
    <m/>
    <m/>
    <m/>
    <s v="Diabetic ketoacidosis (day 741)"/>
    <m/>
    <s v="insulin aspart, human (day 35, for 763 days); insulin glargine (day 780, for 0 days); insulin glargine (day 848, for 0 days); insulin aspart, human (day 848, for 0 days); insulin aspart, human (day 911, for 0 days); insulin glargine (day 911, for 0 days);"/>
    <m/>
  </r>
  <r>
    <x v="0"/>
    <n v="3266510164"/>
    <n v="60"/>
    <s v="Male"/>
    <s v="-42 days - 4337 days"/>
    <s v="Office Visit"/>
    <s v="Type 1 diabetes mellitus (EHR);"/>
    <s v="Diabetes mellitus (day -38)"/>
    <m/>
    <m/>
    <s v="insulin glargine (day -10, for 82 days); insulin lispro (day -10, for 108 days);"/>
    <m/>
    <m/>
    <s v="Glucose measurement, blood (4.8 millimole per liter, day -7); HbA1c measurement (DCCT aligned) (8.8 percent, day -7);"/>
    <s v="Diabetes mellitus (day -38)"/>
    <s v="Disorder of macula due to diabetes mellitus (day 1708, 3890); Nonproliferative retinopathy due to diabetes mellitus (day 1782, 2755)"/>
    <m/>
    <s v="insulin lispro (day 137, for 65 days); insulin glargine (day 137, for 65 days); insulin lispro (day 255, for 360 days); insulin glargine (day 326, for 27 days); insulin glargine (day 457, for 77 days); insulin lispro (day 651, for 349 days); insulin glarg"/>
    <m/>
  </r>
  <r>
    <x v="0"/>
    <n v="3354710424"/>
    <n v="24"/>
    <s v="Male"/>
    <s v="-26 days - 456 days"/>
    <s v="Office Visit-&gt;Office Visit"/>
    <s v="Type 1 diabetes mellitus (EHR);"/>
    <m/>
    <m/>
    <m/>
    <m/>
    <m/>
    <m/>
    <m/>
    <m/>
    <s v="Type 1 diabetes mellitus (day 100)"/>
    <m/>
    <s v="insulin glargine (day 4, for 52 days); insulin aspart, human (day 4, for 52 days); insulin aspart, human (day 189, for 0 days); insulin glargine (day 189, for 0 days); insulin glargine (day 309, for 0 days); insulin aspart, human (day 309, for 0 days); in"/>
    <m/>
  </r>
  <r>
    <x v="0"/>
    <n v="9461110544"/>
    <n v="3"/>
    <s v="Female"/>
    <s v="-71 days - 860 days"/>
    <s v="Office Visit"/>
    <s v="Type 1 diabetes mellitus (EHR);"/>
    <m/>
    <m/>
    <m/>
    <m/>
    <m/>
    <m/>
    <m/>
    <m/>
    <m/>
    <m/>
    <s v="insulin, regular, human (day 0, for 27 days); insulin isophane (day 0, for 27 days); insulin, regular, human (day 64, for 172 days); insulin isophane (day 64, for 172 days); insulin aspart, human (day 211, for 27 days); insulin, regular, human (day 316, f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n v="7810823"/>
    <n v="53"/>
    <s v="Female"/>
    <s v="-2979 days - 4196 days"/>
    <s v="Office Visit-&gt;Office Visit"/>
    <s v="10g monofilament sensation L foot normal (EHR); 10g monofilament sensation R foot normal (EHR); All pulses present in left foot (EHR); All pulses present in left lower limb (EHR); All pulses present in right foot (EHR); All pulses present in right lower l"/>
    <m/>
    <m/>
    <s v="Proliferative retinopathy due to diabetes mellitus (day -458); Severe nonproliferative retinopathy due to diabetes mellitus (day -2234)"/>
    <s v="insulin isophane (day -2864, for 55 days); insulin, regular, human (day -2864, for 55 days); insulin, regular, human (day -2775, for 149 days); insulin isophane (day -2775, for 149 days); insulin, regular, human (day -2568, for 55 days); insulin isophane "/>
    <m/>
    <m/>
    <s v="HbA1c measurement (DCCT aligned) (82 millimole per mole, day 0);"/>
    <m/>
    <s v="Nonproliferative retinopathy of left eye due to diabetes mellitus (day 818, 1161); Nonproliferative retinopathy of right eye due to diabetes mellitus (day 182, 818); Preproliferative retinopathy of left eye due to diabetes mellitus (day 1651); Proliferati"/>
    <m/>
    <s v="insulin isophane (day 61, for 27 days); insulin, regular, human (day 61, for 55 days); insulin isophane (day 151, for 27 days); insulin, regular, human (day 151, for 55 days); insulin isophane (day 221, for 69 days); insulin, regular, human (day 263, for "/>
    <m/>
  </r>
  <r>
    <x v="0"/>
    <n v="2352010389"/>
    <n v="20"/>
    <s v="Male"/>
    <s v="-85 days - 166 days"/>
    <m/>
    <s v="Acquired deviated nasal septum (EHR); All pulses present in left lower limb (EHR); All pulses present in right lower limb (EHR); Blood pressure finding (EHR); Finding of foot region (EHR); Normal tactile sensation (EHR); Temporomandibular joint disorder ("/>
    <s v="Family history of diabetes mellitus (day -85)"/>
    <m/>
    <s v="Type 1 diabetes mellitus (day -69)"/>
    <m/>
    <m/>
    <m/>
    <s v="Glucose measurement, blood (6.4 millimole per liter, abnormal - high, day -17); HbA1c measurement (DCCT aligned) (58 millimole per mole, day -17);"/>
    <m/>
    <m/>
    <m/>
    <s v="insulin aspart, human (day 89, for 11 days); insulin glargine (day 89, for 27 days);"/>
    <m/>
  </r>
  <r>
    <x v="1"/>
    <n v="244010017"/>
    <n v="17"/>
    <s v="Female"/>
    <s v="-2281 days - 4538 days"/>
    <m/>
    <s v="Acute upper respiratory infection (EHR); Acute upper respiratory infection (EHR); Type 1 diabetes mellitus (EHR); Type 1 diabetes mellitus (EHR);"/>
    <m/>
    <m/>
    <s v="Type 1 diabetes mellitus (day -38)"/>
    <s v="insulin, regular, human (day -32, for 408 days); insulin lispro (day -32, for 27 days); insulin isophane (day -32, for 408 days);"/>
    <m/>
    <m/>
    <m/>
    <m/>
    <s v="Ketoacidotic coma due to type 1 diabetes mellitus (day 1871); Type 1 diabetes mellitus (day 66)"/>
    <m/>
    <s v="insulin lispro (day 125, for 27 days); insulin, regular, human (day 413, for 107 days); insulin isophane (day 413, for 107 days); insulin lispro (day 447, for 27 days); insulin isophane (day 583, for 27 days); insulin, regular, human (day 583, for 27 days"/>
    <m/>
  </r>
  <r>
    <x v="0"/>
    <n v="5359010662"/>
    <n v="51"/>
    <s v="Male"/>
    <s v="-2 days - 854 days"/>
    <s v="Office Visit"/>
    <s v="Alcohol dependence (EHR); Alcoholic cirrhosis (EHR); Asthma (EHR); Epilepsy (EHR); Glaucoma (EHR); Retinal detachment (EHR); Traumatic or nontraumatic brain injury (EHR); Type 1 diabetes mellitus (EHR);"/>
    <m/>
    <m/>
    <m/>
    <m/>
    <m/>
    <m/>
    <s v="HbA1c measurement (DCCT aligned) (84 millimole per mole, abnormal - high, day 14);"/>
    <m/>
    <m/>
    <m/>
    <s v="insulin isophane (day 0, for 627 days); insulin, regular, human (day 0, for 627 days); insulin, regular, human (day 742, for 0 days); insulin isophane (day 742, for 0 days); insulin detemir (day 742, for 0 days); insulin, regular, human (day 783, for 0 da"/>
    <m/>
  </r>
  <r>
    <x v="0"/>
    <n v="261610479"/>
    <n v="39"/>
    <s v="Female"/>
    <s v="-4686 days - 3219 days"/>
    <m/>
    <s v="All pulses present in left lower limb (EHR); All pulses present in right lower limb (EHR); Blood pressure finding (EHR); Type 1 diabetes mellitus (EHR);"/>
    <s v="Diabetes mellitus (day -4670, -4635, -4228, -4130, -3731, -2970, -1745, -576, -499, -430, -317)"/>
    <m/>
    <s v="Type 1 diabetes mellitus (day -476)"/>
    <s v="insulin isophane (day -4565, for 3234 days); insulin, regular, human (day -4565, for 77 days); insulin, regular, human (day -4419, for 393 days); insulin, regular, human (day -3965, for 29 days); insulin, regular, human (day -3878, for 2350 days); metform"/>
    <m/>
    <m/>
    <s v="HbA1c measurement (DCCT aligned) (7.7 percent, day 0);"/>
    <m/>
    <m/>
    <m/>
    <s v="insulin aspart, human (day 53, for 30 days); insulin aspart, human (day 115, for 0 days); insulin aspart, human (day 151, for 0 days); insulin aspart, human (day 196, for 0 days); insulin aspart, human (day 245, for 0 days); insulin aspart, human (day 276"/>
    <m/>
  </r>
  <r>
    <x v="1"/>
    <n v="378410775"/>
    <n v="34"/>
    <s v="Male"/>
    <s v="-274 days - 8161 days"/>
    <m/>
    <s v="All pulses present in left lower limb (EHR); All pulses present in right lower limb (EHR); Type 1 diabetes mellitus (EHR);"/>
    <s v="Essential hypertension (day -69)"/>
    <m/>
    <s v="Type 1 diabetes mellitus (day -48)"/>
    <s v="insulin, regular, human (day -207, for 291 days); insulin isophane (day -207, for 291 days);"/>
    <m/>
    <m/>
    <s v="HbA1c measurement (DCCT aligned) (0 , day -28); HbA1c measurement (DCCT aligned) (7.8 , day -28);"/>
    <s v="Essential hypertension (day -69)"/>
    <s v="Disorder of left macula due to diabetes mellitus (day 3108, 7617, 7703); Disorder of right macula due to diabetes mellitus (day 7617, 7703); Nonproliferative retinopathy due to diabetes mellitus (day 371); Nonproliferative retinopathy of left eye due to d"/>
    <m/>
    <s v="insulin, regular, human (day 115, for 146 days); insulin isophane (day 115, for 146 days); insulin isophane (day 296, for 53 days); insulin, regular, human (day 296, for 53 days); insulin, regular, human (day 382, for 368 days); insulin isophane (day 382,"/>
    <m/>
  </r>
  <r>
    <x v="1"/>
    <n v="1502010397"/>
    <n v="16"/>
    <s v="Male"/>
    <s v="-2646 days - 911 days"/>
    <m/>
    <s v="All pulses present in left lower limb (EHR); All pulses present in right lower limb (EHR); Blood pressure finding (EHR); Type 1 diabetes mellitus (EHR);"/>
    <m/>
    <m/>
    <s v="Type 1 diabetes mellitus (day -677, -630)"/>
    <s v="insulin aspart, human (day -676, for 1586 days); insulin isophane (day -676, for 44 days); insulin, regular, human (day -676, for 44 days); insulin aspart protamine, human (day -645, for 1150 days); insulin detemir (day -104, for 23 days); insulin detemir"/>
    <m/>
    <m/>
    <m/>
    <m/>
    <m/>
    <m/>
    <s v="insulin detemir (day 55, for 30 days); insulin detemir (day 140, for 0 days); insulin detemir (day 232, for 0 days); insulin detemir (day 315, for 30 days); insulin glargine (day 414, for 28 days); metformin (day 414, for 29 days); metformin (day 478, for"/>
    <m/>
  </r>
  <r>
    <x v="0"/>
    <n v="2353710622"/>
    <n v="18"/>
    <s v="Female"/>
    <s v="-2093 days - 237 days"/>
    <m/>
    <s v="All pulses present in left lower limb (EHR); All pulses present in right lower limb (EHR); Blood pressure finding (EHR); Type 1 diabetes mellitus (EHR);"/>
    <s v="Candidiasis (day -160)"/>
    <m/>
    <s v="Type 1 diabetes mellitus (day -435)"/>
    <s v="insulin glargine (day -435, for 13 days); insulin aspart, human (day -435, for 13 days); insulin glargine (day -380, for 23 days); insulin aspart, human (day -380, for 86 days); insulin glargine (day -294, for 0 days); insulin aspart, human (day -247, for"/>
    <m/>
    <m/>
    <s v="HbA1c measurement (DCCT aligned) (86 millimole per mole, day -7);"/>
    <m/>
    <m/>
    <m/>
    <s v="insulin aspart, human (day 34, for 0 days); insulin degludec (day 34, for 0 days); insulin aspart, human (day 78, for 0 days); insulin aspart, human (day 126, for 0 days); insulin degludec (day 126, for 0 days); insulin degludec (day 202, for 0 days); ins"/>
    <m/>
  </r>
  <r>
    <x v="1"/>
    <n v="1045410614"/>
    <n v="40"/>
    <s v="Female"/>
    <s v="-14 days - 5874 days"/>
    <s v="Office Visit"/>
    <s v="Allergic reaction to drug (EHR); Type 1 diabetes mellitus (EHR);"/>
    <m/>
    <m/>
    <m/>
    <m/>
    <m/>
    <m/>
    <m/>
    <m/>
    <s v="Disorder of nervous system due to diabetes mellitus (day 3240, 5340)"/>
    <m/>
    <s v="insulin, regular, human (day 50, for 29 days); insulin isophane (day 50, for 29 days); insulin, regular, human (day 178, for 29 days); insulin isophane (day 178, for 29 days); insulin, regular, human (day 246, for 29 days); insulin isophane (day 246, for "/>
    <m/>
  </r>
  <r>
    <x v="1"/>
    <n v="4803410866"/>
    <n v="20"/>
    <s v="Female"/>
    <s v="-12 days - 83 days"/>
    <s v="Office Visit"/>
    <s v="Asthma (EHR); Obesity (EHR); Type 1 diabetes mellitus (EHR);"/>
    <m/>
    <m/>
    <m/>
    <m/>
    <m/>
    <m/>
    <m/>
    <s v="Obesity (day 0)"/>
    <m/>
    <m/>
    <s v="insulin aspart, human (day 0, for 55 days); insulin glargine (day 0, for 0 days); insulin glargine (day 70, for 0 days);"/>
    <m/>
  </r>
  <r>
    <x v="1"/>
    <n v="384210994"/>
    <n v="30"/>
    <s v="Male"/>
    <s v="-7106 days - 903 days"/>
    <s v="Office Visit"/>
    <s v="Asymptomatic periapical periodontitis (EHR); Dental caries (EHR); Type 1 diabetes mellitus (EHR);"/>
    <s v="Cyst of pancreas (day -5967, -4488, -3139)"/>
    <m/>
    <m/>
    <m/>
    <m/>
    <m/>
    <m/>
    <m/>
    <m/>
    <m/>
    <s v="insulin glargine (day 8, for 178 days); insulin aspart, human (day 8, for 178 days); insulin aspart, human (day 218, for 243 days); insulin glargine (day 218, for 243 days); insulin aspart, human (day 543, for 28 days); insulin glargine (day 543, for 28 d"/>
    <m/>
  </r>
  <r>
    <x v="1"/>
    <n v="77110497"/>
    <n v="26"/>
    <s v="Male"/>
    <s v="-3834 days - 107 days"/>
    <m/>
    <s v="Atopic conjunctivitis (EHR); Type 1 diabetes mellitus (EHR);"/>
    <s v="Diabetes mellitus (day -2101, -1801, -576); Diabetic - good control (day -2085, -1779, -1289, -1107, -771)"/>
    <m/>
    <s v="Retinopathy due to diabetes mellitus (day -341); Type 1 diabetes mellitus (day -2008, -1304)"/>
    <s v="insulin, regular, human (day -2095, for 35 days); insulin isophane (day -2095, for 35 days); insulin, regular, human (day -2024, for 29 days); insulin isophane (day -2024, for 29 days); insulin, regular, human (day -1954, for 29 days); insulin isophane (d"/>
    <m/>
    <m/>
    <m/>
    <m/>
    <m/>
    <m/>
    <m/>
    <m/>
  </r>
  <r>
    <x v="1"/>
    <n v="35210409"/>
    <n v="29"/>
    <s v="Male"/>
    <s v="-2078 days - 851 days"/>
    <m/>
    <s v="Blood pressure finding (EHR); Type 1 diabetes mellitus (EHR);"/>
    <s v="Diabetes mellitus (day -1829, -1186, -286)"/>
    <m/>
    <s v="Type 1 diabetes mellitus (day -972)"/>
    <s v="insulin, regular, human (day -2052, for 98 days); insulin isophane (day -1996, for 42 days); insulin isophane (day -1878, for 632 days); insulin, regular, human (day -1878, for 156 days); insulin lispro (day -1707, for 353 days); insulin lispro (day -1323"/>
    <m/>
    <m/>
    <m/>
    <m/>
    <s v="Type 1 diabetes mellitus (day 624, 704)"/>
    <m/>
    <s v="insulin lispro (day 25, for 27 days); insulin lispro (day 104, for 67 days); insulin glargine (day 180, for 57 days); insulin lispro (day 210, for 27 days); insulin glargine (day 277, for 154 days); insulin lispro (day 343, for 27 days); insulin lispro (d"/>
    <m/>
  </r>
  <r>
    <x v="0"/>
    <n v="153910595"/>
    <n v="62"/>
    <s v="Male"/>
    <s v="-1716 days - 479 days"/>
    <m/>
    <s v="Blood pressure finding (EHR); Finding of vibration sense (EHR); Pulse present in left dorsalis pedis artery (EHR); Pulse present in left posterior tibial artery (EHR); Pulse present in right dorsalis pedis artery (EHR); Pulse present in right posterior ti"/>
    <s v="Diabetes mellitus (day -778, -455, -372); Essential hypertension (day -1008); Insulin treated type 2 diabetes mellitus (day -778); Type 2 diabetes mellitus (day -372)"/>
    <m/>
    <s v="Type 1 diabetes mellitus (day -778)"/>
    <s v="insulin isophane (day -35, for 312 days);"/>
    <m/>
    <m/>
    <s v="Glucose measurement, blood (14.8 , day -9); HbA1c measurement (DCCT aligned) (5.8 , day -9); Glucose measurement, blood (14.8 , day 0); HbA1c measurement (DCCT aligned) (5.8 , day 0); Urine screening for glucose (day 0);"/>
    <m/>
    <s v="Type 1 diabetes mellitus (day 228)"/>
    <m/>
    <s v="insulin isophane (day 322, for 144 days);"/>
    <m/>
  </r>
  <r>
    <x v="1"/>
    <n v="274210173"/>
    <n v="77"/>
    <s v="Female"/>
    <s v="-357 days - 765 days"/>
    <m/>
    <s v="Blood pressure finding (EHR); Type 1 diabetes mellitus (EHR);"/>
    <s v="Diabetes mellitus (day -91)"/>
    <m/>
    <s v="Type 1 diabetes mellitus (day -91)"/>
    <s v="insulin, regular, human (day -91, for 163 days); insulin isophane (day -91, for 163 days);"/>
    <m/>
    <m/>
    <m/>
    <m/>
    <m/>
    <m/>
    <s v="insulin isophane (day 164, for 44 days); insulin, regular, human (day 164, for 44 days); insulin isophane (day 282, for 27 days); insulin, regular, human (day 282, for 27 days); insulin isophane (day 357, for 27 days); insulin, regular, human (day 357, fo"/>
    <m/>
  </r>
  <r>
    <x v="1"/>
    <n v="436610288"/>
    <n v="67"/>
    <s v="Female"/>
    <s v="-5268 days - 480 days"/>
    <m/>
    <s v="Blood pressure finding (EHR); Type 1 diabetes mellitus (EHR);"/>
    <s v="Diabetes mellitus (day -4682, -4472, -4000, -3916, -2986); Family history of diabetes mellitus (day -3923); Type 2 diabetes mellitus (day -5140, -4197, -4063, -3309, -2993)"/>
    <m/>
    <s v="Autonomic neuropathy due to diabetes mellitus (day -3779); Disorder of nervous system due to diabetes mellitus (day -3552, -3281, -3090); Neuropathy due to diabetes mellitus (day -4609); Type 1 diabetes mellitus (day -2979, -88)"/>
    <s v="metformin (day -5250, for 1522 days); insulin isophane (day -5241, for 2196 days); acarbose (day -5236, for 1728 days); pioglitazone (day -4000, for 27 days); pioglitazone (day -3916, for 184 days); insulin glargine (day -3902, for 37 days); metformin (da"/>
    <m/>
    <m/>
    <s v="HbA1c measurement (DCCT aligned) (34 millimole per mole, normal, day -7);"/>
    <m/>
    <m/>
    <m/>
    <s v="insulin isophane (day 323, for 27 days); insulin isophane (day 385, for 112 days);"/>
    <m/>
  </r>
  <r>
    <x v="1"/>
    <n v="503810366"/>
    <n v="72"/>
    <s v="Male"/>
    <s v="-5496 days - 1202 days"/>
    <s v="Office Visit"/>
    <s v="Blood pressure finding (EHR); Diabetes mellitus (EHR); Type 1 diabetes mellitus (EHR);"/>
    <s v="Acute pancreatitis (day -38); Essential hypertension (day -1177, -830, -674)"/>
    <m/>
    <m/>
    <m/>
    <m/>
    <m/>
    <m/>
    <s v="Acute pancreatitis (day -38); Diabetes mellitus (day 0)"/>
    <m/>
    <m/>
    <s v="insulin aspart, human (day 33, for 60 days); insulin aspart protamine, human (day 33, for 60 days); insulin glargine (day 125, for 98 days); insulin glargine (day 279, for 27 days); insulin glargine (day 369, for 67 days); insulin glargine (day 510, for 2"/>
    <m/>
  </r>
  <r>
    <x v="1"/>
    <n v="559910689"/>
    <n v="34"/>
    <s v="Male"/>
    <s v="-1186 days - 4197 days"/>
    <s v="Office Visit-&gt;Office Visit"/>
    <s v="Blood pressure finding (EHR); Type 1 diabetes mellitus (EHR);"/>
    <s v="Diabetes mellitus (day -350)"/>
    <m/>
    <m/>
    <s v="insulin, regular, human (day -1108, for 27 days); insulin, regular, human (day -1043, for 27 days); insulin, regular, human (day -892, for 85 days); insulin, regular, human (day -599, for 27 days); insulin, regular, human (day -487, for 27 days); insulin,"/>
    <m/>
    <m/>
    <s v="HbA1c measurement (DCCT aligned) (8.4 , day 0);"/>
    <m/>
    <s v="Diabetic hand syndrome (day 882, 958); Nonproliferative retinopathy due to diabetes mellitus (day 376); Retinopathy due to diabetes mellitus (day 3657, 4043); Type 1 diabetes mellitus (day 950, 1137)"/>
    <m/>
    <s v="insulin, regular, human (day 21, for 27 days); insulin, regular, human (day 112, for 27 days); insulin, regular, human (day 207, for 27 days); insulin, regular, human (day 341, for 27 days); insulin, regular, human (day 416, for 27 days); insulin, regular"/>
    <m/>
  </r>
  <r>
    <x v="1"/>
    <n v="644210241"/>
    <n v="66"/>
    <s v="Male"/>
    <s v="-4926 days - 262 days"/>
    <s v="Office Visit"/>
    <s v="Blood pressure finding (EHR); Type 1 diabetes mellitus (EHR);"/>
    <s v="Diabetes mellitus (day -2589, -469); Essential hypertension (day -155); Type 2 diabetes mellitus (day -2589)"/>
    <m/>
    <s v="Nonproliferative retinopathy due to diabetes mellitus (day -173)"/>
    <s v="glyburide (day -1513, for 111 days);"/>
    <m/>
    <m/>
    <m/>
    <m/>
    <m/>
    <m/>
    <s v="insulin isophane (day 0, for 27 days); insulin, regular, human (day 0, for 27 days); insulin isophane (day 80, for 27 days); insulin, regular, human (day 80, for 27 days); insulin isophane (day 142, for 27 days); insulin, regular, human (day 142, for 27 d"/>
    <m/>
  </r>
  <r>
    <x v="0"/>
    <n v="812210207"/>
    <n v="38"/>
    <s v="Female"/>
    <s v="-85 days - 4750 days"/>
    <s v="Office Visit"/>
    <s v="Blood pressure finding (EHR); Type 1 diabetes mellitus (EHR);"/>
    <m/>
    <m/>
    <m/>
    <m/>
    <m/>
    <m/>
    <s v="Serum fasting glucose measurement (15 millimole per liter, day 12);"/>
    <m/>
    <m/>
    <m/>
    <s v="insulin isophane (day 0, for 76 days); insulin, regular, human (day 0, for 76 days); insulin, regular, human (day 113, for 133 days); insulin isophane (day 113, for 133 days); insulin, regular, human (day 289, for 27 days); insulin isophane (day 289, for "/>
    <m/>
  </r>
  <r>
    <x v="0"/>
    <n v="925810409"/>
    <n v="31"/>
    <s v="Female"/>
    <s v="-2831 days - 1990 days"/>
    <m/>
    <s v="Blood pressure finding (EHR); Blood pressure finding (EHR); Blood pressure finding (EHR); Blood pressure finding (EHR); Blood pressure finding (EHR); Blood pressure finding (EHR); Blood pressure finding (EHR); Type 1 diabetes mellitus (EHR); Type 1 diabet"/>
    <s v="Candidiasis (day -2698, -2159); Candidiasis of vagina (day -2699); Diabetes mellitus (day -1851, -1669, -1368, -1168)"/>
    <m/>
    <s v="Retinopathy due to diabetes mellitus (day -2272, -1424, -866, -140); Type 1 diabetes mellitus (day -853, -140, -28)"/>
    <s v="insulin isophane (day -2791, for 230 days); insulin, regular, human (day -2791, for 230 days); insulin isophane (day -2527, for 142 days); insulin, regular, human (day -2527, for 142 days); insulin, regular, human (day -2337, for 54 days); insulin isophan"/>
    <m/>
    <m/>
    <s v="HbA1c measurement (DCCT aligned) (8.3 percent, day 14); Glucose measurement, blood (9.2 millimole per liter, day 14); HbA1c measurement (DCCT aligned) (8.8 percent, day 28);"/>
    <m/>
    <s v="Retinopathy due to diabetes mellitus (day 794, 849, 1682, 1745); Type 1 diabetes mellitus (day 80, 303, 337, 458, 591, 819, 917, 962, 997, 1193, 1234)"/>
    <m/>
    <s v="insulin aspart, human (day 17, for 27 days); insulin glargine (day 211, for 27 days); insulin aspart, human (day 211, for 27 days); insulin aspart, human (day 309, for 27 days); insulin glargine (day 309, for 27 days); insulin glargine (day 367, for 425 d"/>
    <m/>
  </r>
  <r>
    <x v="0"/>
    <n v="1054010302"/>
    <n v="33"/>
    <s v="Female"/>
    <s v="-4416 days - 710 days"/>
    <m/>
    <s v="Blood pressure finding (EHR); Blood pressure finding (EHR); Blood pressure finding (EHR); Blood pressure finding (EHR); Type 1 diabetes mellitus (EHR); Type 1 diabetes mellitus (EHR); Type 1 diabetes mellitus (EHR); Type 1 diabetes mellitus (EHR);"/>
    <s v="Candidiasis (day -3653, -3374, -2751, -2520, -2473, -1795, -1539, -1274, -1177, -335); Candidiasis of vagina (day -3047, -2179, -2123, -1896); Diabetes mellitus (day -4042, -3471, -3110, -2960, -2737, -2544, -2330, -2270, -2226, -2192, -2044, -1974, -1647"/>
    <m/>
    <s v="Hypoglycemic coma due to type 1 diabetes mellitus (day -2197, -2158); Ketoacidosis due to type 1 diabetes mellitus (day -3038); Loss of hypoglycemic warning due to diabetes mellitus (day -836, -581); Proliferative retinopathy due to diabetes mellitus (day"/>
    <s v="insulin lispro (day -4396, for 29 days); insulin lispro (day -4336, for 29 days); insulin isophane (day -4336, for 29 days); insulin lispro (day -4251, for 29 days); insulin isophane (day -4251, for 29 days); insulin lispro (day -4129, for 29 days); insul"/>
    <m/>
    <m/>
    <s v="Serum fasting glucose measurement (3.4 millimole per liter, normal, day 0); HbA1c measurement (DCCT aligned) (83 millimole per mole, abnormal - high, day 0);"/>
    <m/>
    <s v="Proliferative retinopathy due to diabetes mellitus (day 639); Type 1 diabetes mellitus (day 40)"/>
    <m/>
    <s v="insulin lispro (day 77, for 0 days); insulin detemir (day 77, for 74 days); insulin lispro (day 124, for 0 days); insulin detemir (day 182, for 179 days); insulin lispro (day 182, for 0 days); insulin lispro (day 238, for 0 days); insulin lispro (day 295,"/>
    <m/>
  </r>
  <r>
    <x v="0"/>
    <n v="1525510677"/>
    <n v="39"/>
    <s v="Male"/>
    <s v="-2640 days - 6782 days"/>
    <m/>
    <s v="Blood pressure finding (EHR); Blood pressure finding (EHR); Blood pressure finding (EHR); Blood pressure finding (EHR); Type 1 diabetes mellitus (EHR); Type 1 diabetes mellitus (EHR); Type 1 diabetes mellitus (EHR); Type 1 diabetes mellitus (EHR);"/>
    <s v="Diabetes mellitus (day -980)"/>
    <m/>
    <s v="Type 1 diabetes mellitus (day -1184, -939)"/>
    <s v="insulin aspart protamine, human (day -966, for 152 days); insulin aspart, human (day -966, for 152 days); insulin aspart, human (day -771, for 0 days); insulin aspart protamine, human (day -771, for 0 days); insulin aspart protamine, human (day -715, for "/>
    <m/>
    <m/>
    <s v="Self-monitoring of blood glucose (day 0); Glucose measurement, blood (11.5 , day 0);"/>
    <m/>
    <s v="Disorder of left macula due to diabetes mellitus (day 5412); Disorder of macula due to diabetes mellitus (day 5340, 5412); Nonproliferative retinopathy due to diabetes mellitus (day 3952, 4402, 5340, 5412, 5643); Nonproliferative retinopathy of left eye d"/>
    <m/>
    <s v="insulin aspart protamine, human (day 5, for 0 days); insulin aspart, human (day 5, for 0 days); insulin aspart protamine, human (day 46, for 0 days); insulin aspart, human (day 46, for 0 days); insulin aspart protamine, human (day 110, for 0 days); insuli"/>
    <m/>
  </r>
  <r>
    <x v="1"/>
    <n v="1721910803"/>
    <n v="34"/>
    <s v="Male"/>
    <s v=" days -  days"/>
    <s v="Office Visit-&gt;Office Visit"/>
    <s v="Blood pressure finding (EHR); Blood pressure finding (EHR); Type 1 diabetes mellitus (EHR); Type 1 diabetes mellitus (EHR);"/>
    <m/>
    <m/>
    <m/>
    <m/>
    <m/>
    <m/>
    <m/>
    <m/>
    <m/>
    <m/>
    <s v="insulin detemir (day 10, for 1158 days); insulin aspart, human (day 10, for 2252 days); insulin degludec (day 1164, for 72 days); insulin degludec (day 1270, for 0 days); insulin degludec (day 1316, for 319 days); insulin degludec (day 1667, for 164 days)"/>
    <m/>
  </r>
  <r>
    <x v="0"/>
    <n v="1985010365"/>
    <n v="72"/>
    <s v="Male"/>
    <s v="-300 days - 1502 days"/>
    <s v="Office Visit-&gt;Office Visit"/>
    <s v="Blood pressure finding (EHR); Type 1 diabetes mellitus (EHR);"/>
    <m/>
    <m/>
    <m/>
    <s v="insulin isophane (day -289, for 142 days); insulin, regular, human (day -287, for 0 days); insulin, regular, human (day -217, for 172 days); insulin isophane (day -72, for 29 days); insulin, regular, human (day -12, for 191 days); insulin isophane (day -1"/>
    <m/>
    <m/>
    <s v="Glucose measurement, blood (12.7 millimole per liter, day -12);"/>
    <m/>
    <s v="Persistent microalbuminuria due to type 1 diabetes mellitus (day 1080); Type 1 diabetes mellitus (day 48, 517, 595)"/>
    <m/>
    <s v="insulin isophane (day 96, for 29 days); insulin, regular, human (day 211, for 82 days); insulin isophane (day 211, for 29 days); insulin, regular, human (day 327, for 792 days); insulin isophane (day 327, for 29 days); insulin isophane (day 418, for 101 d"/>
    <m/>
  </r>
  <r>
    <x v="1"/>
    <n v="2020510974"/>
    <n v="55"/>
    <s v="Male"/>
    <s v="-3204 days - 4530 days"/>
    <s v="Office Visit-&gt;Office Visit"/>
    <s v="Blood pressure finding (EHR); Type 1 diabetes mellitus (EHR);"/>
    <s v="Essential hypertension (day -3113); Hyperlipidemia (day -2840, -2667, -2030, -1952, -1862, -1077, -894, -230); Insulin treated type 2 diabetes mellitus (day -3204); Obesity (day -2484); Type 2 diabetes mellitus (day -3204, -2675, -2303, -2041, -824, -467)"/>
    <m/>
    <s v="Nonproliferative retinopathy due to diabetes mellitus (day -3070); Retinopathy due to diabetes mellitus (day -2484)"/>
    <s v="metformin (day -3178, for 56 days); insulin, regular, human (day -3143, for 206 days); insulin isophane (day -3143, for 206 days); metformin (day -3086, for 104 days); metformin (day -2945, for 89 days); insulin aspart, human (day -2939, for 4424 days); i"/>
    <m/>
    <m/>
    <m/>
    <m/>
    <s v="Type 1 diabetes mellitus (day 1198)"/>
    <m/>
    <s v="metformin (day 115, for 54 days); metformin (day 205, for 138 days); metformin (day 391, for 371 days); metformin (day 822, for 116 days); metformin (day 981, for 57 days); metformin (day 1127, for 27 days); metformin (day 1198, for 27 days); metformin (d"/>
    <m/>
  </r>
  <r>
    <x v="1"/>
    <n v="2520610627"/>
    <n v="44"/>
    <s v="Female"/>
    <s v=" days -  days"/>
    <s v="Office Visit-&gt;Office Visit"/>
    <s v="Blood pressure finding (EHR); Type 1 diabetes mellitus (EHR);"/>
    <m/>
    <m/>
    <m/>
    <m/>
    <m/>
    <m/>
    <m/>
    <m/>
    <s v="Retinopathy due to diabetes mellitus (day 188); Type 1 diabetes mellitus (day 539)"/>
    <m/>
    <s v="insulin aspart, human (day 82, for 0 days); insulin detemir (day 82, for 84 days); insulin aspart, human (day 367, for 44 days); insulin aspart, human (day 454, for 27 days); insulin detemir (day 454, for 27 days); insulin detemir (day 553, for 122 days);"/>
    <m/>
  </r>
  <r>
    <x v="0"/>
    <n v="3954810544"/>
    <n v="58"/>
    <s v="Male"/>
    <s v="-2017 days - 3651 days"/>
    <m/>
    <s v="Blood pressure finding (EHR); Finding of foot region (EHR); Type 1 diabetes mellitus (EHR);"/>
    <s v="Calculus of pancreas (day -1068); Diabetes mellitus (day -581); Type 2 diabetes mellitus (day -1919, -581)"/>
    <m/>
    <s v="Type 1 diabetes mellitus (day -581)"/>
    <s v="glipizide (day -1596, for 124 days); glipizide (day -1410, for 27 days); glipizide (day -1305, for 96 days); glipizide (day -1165, for 55 days); glipizide (day -1065, for 55 days); insulin isophane (day -1023, for 27 days); insulin, regular, human (day -9"/>
    <m/>
    <m/>
    <s v="HbA1c measurement (DCCT aligned) (7.3 percent, day 0);"/>
    <m/>
    <s v="Nonproliferative retinopathy due to diabetes mellitus (day 2692); Preproliferative retinopathy due to diabetes mellitus (day 3024); Retinopathy due to type 2 diabetes mellitus (day 2446)"/>
    <m/>
    <s v="insulin isophane (day 39, for 27 days); insulin lispro (day 39, for 27 days); insulin isophane (day 472, for 132 days); insulin lispro (day 528, for 76 days); insulin lispro (day 781, for 27 days); insulin isophane (day 781, for 27 days); insulin glargine"/>
    <m/>
  </r>
  <r>
    <x v="1"/>
    <n v="726710461"/>
    <n v="47"/>
    <s v="Male"/>
    <s v="-1428 days - 6734 days"/>
    <s v="Office Visit-&gt;Office Visit"/>
    <s v="Diabetes mellitus (EHR); Diabetes mellitus (EHR); Type 1 diabetes mellitus (EHR); Type 1 diabetes mellitus (EHR);"/>
    <s v="Diabetes mellitus (day -1047)"/>
    <m/>
    <m/>
    <s v="insulin, protamine zinc, beef (day -1422, for 27 days); insulin, protamine zinc, beef (day -1348, for 27 days); insulin, protamine zinc, beef (day -1264, for 27 days); insulin, protamine zinc, beef (day -1198, for 27 days); insulin, protamine zinc, beef ("/>
    <m/>
    <m/>
    <m/>
    <s v="Diabetes mellitus (day 0); Retinopathy due to diabetes mellitus (day 76)"/>
    <s v="Proliferative retinopathy due to diabetes mellitus (day 3989, 4187, 4898); Retinopathy due to diabetes mellitus (day 76); Type 1 diabetes mellitus (day 3836, 3995, 4195, 4797, 5033, 5098, 5546)"/>
    <m/>
    <s v="insulin, regular, human (day 315, for 460 days); insulin, regular, human (day 838, for 630 days); insulin, regular, human (day 1504, for 27 days); insulin isophane (day 1567, for 1167 days); insulin, regular, human (day 1567, for 1141 days); insulin, regu"/>
    <m/>
  </r>
  <r>
    <x v="2"/>
    <n v="833410289"/>
    <n v="24"/>
    <s v="Female"/>
    <s v="-2491 days - 4727 days"/>
    <s v="Office Visit-&gt;Office Visit"/>
    <s v="Diabetes mellitus (EHR); Type 1 diabetes mellitus (EHR);"/>
    <m/>
    <m/>
    <m/>
    <m/>
    <m/>
    <m/>
    <m/>
    <s v="Diabetes mellitus (day 0); Type 2 diabetes mellitus (day 1)"/>
    <s v="Diabetic ketoacidosis (day 2350, 2965, 3454, 3982); Retinopathy due to diabetes mellitus (day 3925); Type 1 diabetes mellitus (day 1627, 3035)"/>
    <m/>
    <s v="metformin (day 3, for 29 days); metformin (day 72, for 29 days); metformin (day 302, for 29 days); metformin (day 423, for 29 days); insulin, regular, human (day 436, for 27 days); insulin isophane (day 436, for 27 days); insulin isophane (day 519, for 27"/>
    <m/>
  </r>
  <r>
    <x v="1"/>
    <n v="971510284"/>
    <n v="60"/>
    <s v="Male"/>
    <s v="-350 days - 4511 days"/>
    <s v="Office Visit-&gt;Office Visit"/>
    <s v="Diabetes mellitus (EHR); Type 1 diabetes mellitus (EHR);"/>
    <m/>
    <m/>
    <m/>
    <m/>
    <m/>
    <m/>
    <m/>
    <s v="Diabetes mellitus (day 0)"/>
    <s v="Neuropathy due to diabetes mellitus (day 2914)"/>
    <m/>
    <s v="insulin, regular, human (day 989, for 27 days); insulin isophane (day 989, for 27 days); insulin isophane (day 1150, for 27 days); insulin, regular, human (day 1150, for 27 days); insulin isophane (day 1239, for 27 days); insulin, regular, human (day 1239"/>
    <m/>
  </r>
  <r>
    <x v="1"/>
    <n v="1094310233"/>
    <n v="4"/>
    <s v="Male"/>
    <s v="-1374 days - 6593 days"/>
    <s v="Office Visit-&gt;Office Visit"/>
    <s v="Diabetes mellitus (EHR); Type 1 diabetes mellitus (EHR);"/>
    <m/>
    <m/>
    <m/>
    <m/>
    <m/>
    <m/>
    <s v="Urine screening for glucose (day 0);"/>
    <s v="Diabetes mellitus (day 0)"/>
    <s v="Type 1 diabetes mellitus (day 4064)"/>
    <m/>
    <s v="insulin, regular, human (day 4, for 541 days); insulin isophane (day 4, for 541 days); insulin isophane (day 710, for 27 days); insulin, regular, human (day 710, for 27 days); insulin isophane (day 770, for 118 days); insulin, regular, human (day 770, for"/>
    <m/>
  </r>
  <r>
    <x v="1"/>
    <n v="38410333"/>
    <n v="33"/>
    <s v="Female"/>
    <s v="-157 days - 4631 days"/>
    <s v="Office Visit-&gt;Office Visit"/>
    <s v="Hyperlipidemia (EHR); Neuropathic arthropathy due to diabetes mellitus (EHR); Neuropathy due to diabetes mellitus (EHR); Retinopathy due to diabetes mellitus (EHR); Type 1 diabetes mellitus (EHR);"/>
    <m/>
    <m/>
    <m/>
    <s v="insulin isophane (day -153, for 398 days); insulin lispro (day -153, for 230 days);"/>
    <m/>
    <m/>
    <m/>
    <s v="Hyperlipidemia (day 0); Neuropathic arthropathy due to diabetes mellitus (day 0); Neuropathy due to diabetes mellitus (day 0); Retinopathy due to diabetes mellitus (day 0)"/>
    <s v="Mixed diabetic ulcer - foot (day 3620); Neuropathic arthropathy due to diabetes mellitus (day 320); Retinopathy due to diabetes mellitus (day 327); Type 1 diabetes mellitus (day 722)"/>
    <m/>
    <s v="metformin (day 112, for 3000 days); insulin lispro (day 126, for 119 days); insulin lispro (day 293, for 186 days); insulin isophane (day 340, for 139 days); insulin lispro (day 529, for 121 days); insulin glargine (day 529, for 121 days); insulin lispro "/>
    <m/>
  </r>
  <r>
    <x v="1"/>
    <n v="3525210465"/>
    <n v="56"/>
    <s v="Male"/>
    <s v="-3534 days - 923 days"/>
    <m/>
    <s v="Pain of knee region (EHR); Type 1 diabetes mellitus (EHR);"/>
    <m/>
    <m/>
    <s v="Type 1 diabetes mellitus (day -1266)"/>
    <s v="insulin, regular, human (day -1266, for 69 days); insulin isophane (day -1266, for 69 days); insulin isophane (day -883, for 27 days); insulin, regular, human (day -883, for 27 days); insulin isophane (day -758, for 27 days); insulin, regular, human (day "/>
    <m/>
    <m/>
    <m/>
    <m/>
    <m/>
    <m/>
    <s v="insulin, regular, human (day 103, for 27 days); insulin isophane (day 103, for 27 days); insulin, regular, human (day 187, for 27 days); insulin isophane (day 187, for 27 days); insulin isophane (day 264, for 57 days); insulin, regular, human (day 264, fo"/>
    <m/>
  </r>
  <r>
    <x v="1"/>
    <n v="2010394"/>
    <n v="33"/>
    <s v="Male"/>
    <s v="-1662 days - 3112 days"/>
    <s v="Office Visit-&gt;Office Visit"/>
    <s v="Type 1 diabetes mellitus (EHR); Type 1 diabetes mellitus (EHR);"/>
    <m/>
    <m/>
    <m/>
    <s v="insulin isophane (day -1654, for 27 days); insulin, regular, human (day -1654, for 27 days); insulin, regular, human (day -1581, for 161 days); insulin isophane (day -1581, for 163 days); insulin isophane (day -1366, for 84 days); insulin, regular, human "/>
    <m/>
    <m/>
    <m/>
    <m/>
    <s v="Disorder of eye due to type 1 diabetes mellitus (day 1141); Type 1 diabetes mellitus (day 105)"/>
    <m/>
    <s v="insulin isophane (day 78, for 88 days); insulin, regular, human (day 78, for 88 days); insulin, regular, human (day 212, for 27 days); insulin isophane (day 212, for 27 days); insulin, regular, human (day 279, for 257 days); insulin isophane (day 279, for"/>
    <m/>
  </r>
  <r>
    <x v="0"/>
    <n v="62910668"/>
    <n v="59"/>
    <s v="Male"/>
    <s v="-3237 days - 2951 days"/>
    <s v="Office Visit-&gt;Office Visit"/>
    <s v="Type 1 diabetes mellitus (EHR);"/>
    <s v="Essential hypertension (day -2509)"/>
    <m/>
    <m/>
    <m/>
    <m/>
    <m/>
    <s v="HbA1c measurement (DCCT aligned) (11 percent, day 0); HbA1c measurement (DCCT aligned) (97 millimole per mole, day 0);"/>
    <m/>
    <s v="Type 1 diabetes mellitus (day 392, 803)"/>
    <m/>
    <s v="insulin glargine (day 66, for 27 days); insulin aspart, human (day 66, for 27 days); insulin aspart, human (day 158, for 0 days); insulin glargine (day 180, for 0 days); insulin aspart, human (day 223, for 0 days); insulin aspart, human (day 279, for 0 da"/>
    <m/>
  </r>
  <r>
    <x v="1"/>
    <n v="75310568"/>
    <n v="54"/>
    <s v="Female"/>
    <s v="-871 days - 493 days"/>
    <s v="Office Visit"/>
    <s v="Type 1 diabetes mellitus (EHR);"/>
    <s v="Diabetes mellitus (day -222)"/>
    <m/>
    <s v="Skin ulcer due to diabetes mellitus (day -222)"/>
    <s v="metformin (day -639, for 439 days); insulin, regular, human (day -220, for 182 days);"/>
    <m/>
    <m/>
    <s v="HbA1c measurement (DCCT aligned) (0 , day 27);"/>
    <m/>
    <m/>
    <m/>
    <s v="metformin (day 2, for 68 days); insulin, regular, human (day 8, for 126 days); metformin (day 111, for 27 days); insulin, regular, human (day 219, for 274 days); insulin isophane (day 250, for 27 days); insulin isophane (day 393, for 27 days);"/>
    <m/>
  </r>
  <r>
    <x v="1"/>
    <n v="120310166"/>
    <n v="33"/>
    <s v="Female"/>
    <s v="-5336 days - 3561 days"/>
    <s v="Office Visit"/>
    <s v="Type 1 diabetes mellitus (EHR);"/>
    <s v="Diabetes mellitus (day -3540); Family history of diabetes mellitus (day -3214, -1877)"/>
    <m/>
    <s v="Disorder of right macula due to diabetes mellitus (day -484); Nonproliferative retinopathy due to diabetes mellitus (day -2041); Nonproliferative retinopathy of left eye due to diabetes mellitus (day -484); Nonproliferative retinopathy of right eye due to"/>
    <s v="insulin, regular, human (day -5335, for 122 days); insulin isophane (day -5333, for 95 days); insulin lispro (day -5214, for 1975 days); insulin isophane (day -5185, for 1666 days); insulin glargine (day -3540, for 299 days); insulin lispro (day -3106, fo"/>
    <m/>
    <m/>
    <m/>
    <s v="Disorder of right macula due to diabetes mellitus (day 20); Nonproliferative retinopathy of left eye due to diabetes mellitus (day 20); Nonproliferative retinopathy of right eye due to diabetes mellitus (day 20)"/>
    <s v="Disorder of right macula due to diabetes mellitus (day 20); Nonproliferative retinopathy of left eye due to diabetes mellitus (day 20, 601, 975, 1507, 1885, 2947, 3437); Nonproliferative retinopathy of right eye due to diabetes mellitus (day 20, 975, 1507"/>
    <m/>
    <s v="insulin lispro (day 38, for 4 days); insulin lispro (day 94, for 4 days); insulin detemir (day 94, for 0 days); insulin detemir (day 146, for 0 days); insulin lispro (day 146, for 4 days); insulin lispro (day 225, for 27 days); insulin detemir (day 248, f"/>
    <m/>
  </r>
  <r>
    <x v="0"/>
    <n v="319810053"/>
    <n v="13"/>
    <s v="Male"/>
    <s v="-1520 days - 2785 days"/>
    <s v="Office Visit-&gt;Office Visit"/>
    <s v="Type 1 diabetes mellitus (EHR); Type 1 diabetes mellitus (EHR);"/>
    <m/>
    <m/>
    <m/>
    <m/>
    <m/>
    <m/>
    <s v="Glucose measurement, blood (31.1 millimole per liter, abnormal - high, day 0); Urine screening for glucose (day 0); HbA1c measurement (DCCT aligned) (10.1 international unit per liter, abnormal - high, day 3);"/>
    <m/>
    <s v="Diabetic ketoacidosis (day 2134); Type 1 diabetes mellitus (day 1666)"/>
    <m/>
    <s v="insulin isophane (day 4, for 628 days); insulin, regular, human (day 4, for 628 days); insulin isophane (day 665, for 583 days); insulin, regular, human (day 665, for 583 days); insulin aspart, human (day 1159, for 61 days); insulin glargine (day 1159, fo"/>
    <m/>
  </r>
  <r>
    <x v="1"/>
    <n v="341210634"/>
    <n v="17"/>
    <s v="Male"/>
    <s v="-187 days - 8514 days"/>
    <s v="Office Visit"/>
    <s v="Type 1 diabetes mellitus (EHR);"/>
    <m/>
    <m/>
    <m/>
    <s v="insulin, regular, human (day -179, for 62 days); insulin, regular, human (day -84, for 27 days);"/>
    <m/>
    <m/>
    <m/>
    <m/>
    <s v="Nonproliferative retinopathy of left eye due to diabetes mellitus (day 7427, 7827); Nonproliferative retinopathy of right eye due to diabetes mellitus (day 7434, 7827)"/>
    <m/>
    <s v="insulin, regular, human (day 0, for 27 days); insulin, regular, human (day 66, for 27 days); insulin, regular, human (day 128, for 181 days); insulin isophane (day 240, for 27 days); insulin, regular, human (day 351, for 139 days); insulin, regular, human"/>
    <m/>
  </r>
  <r>
    <x v="1"/>
    <n v="362110891"/>
    <n v="40"/>
    <s v="Male"/>
    <s v="-1928 days - 7690 days"/>
    <m/>
    <s v="Type 1 diabetes mellitus (EHR);"/>
    <s v="Type 2 diabetes mellitus without complication (day -1775, -666)"/>
    <m/>
    <s v="Type 1 diabetes mellitus without complication (day -1787)"/>
    <s v="insulin, regular, human (day -1775, for 29 days); insulin isophane (day -1676, for 84 days); insulin isophane (day -1547, for 192 days); insulin isophane (day -1313, for 125 days); insulin isophane (day -1116, for 433 days); insulin isophane (day -640, fo"/>
    <m/>
    <m/>
    <m/>
    <m/>
    <s v="Nonproliferative retinopathy of left eye due to diabetes mellitus (day 5528, 6958); Nonproliferative retinopathy of right eye due to diabetes mellitus (day 5528, 6958); Proliferative retinopathy due to diabetes mellitus (day 2254); Type 1 diabetes mellitu"/>
    <m/>
    <s v="insulin isophane (day 766, for 561 days); insulin isophane (day 1368, for 437 days); insulin isophane (day 1852, for 111 days); insulin isophane (day 2014, for 224 days); insulin isophane (day 2275, for 55 days); insulin isophane (day 2391, for 120 days);"/>
    <m/>
  </r>
  <r>
    <x v="1"/>
    <n v="370010311"/>
    <n v="79"/>
    <s v="Male"/>
    <s v="-549 days - 605 days"/>
    <s v="Office Visit"/>
    <s v="Type 1 diabetes mellitus (EHR);"/>
    <m/>
    <m/>
    <m/>
    <s v="insulin, regular, human (day -505, for 1058 days); insulin isophane (day -505, for 1058 days);"/>
    <m/>
    <m/>
    <m/>
    <m/>
    <m/>
    <m/>
    <m/>
    <m/>
  </r>
  <r>
    <x v="1"/>
    <n v="461910966"/>
    <n v="31"/>
    <s v="Male"/>
    <s v="-10893 days - 2316 days"/>
    <s v="Office Visit"/>
    <s v="Type 1 diabetes mellitus (EHR);"/>
    <m/>
    <m/>
    <m/>
    <m/>
    <m/>
    <m/>
    <m/>
    <m/>
    <m/>
    <m/>
    <s v="insulin lispro protamine, human (day 0, for 0 days); insulin lispro (day 0, for 0 days); insulin degludec (day 52, for 28 days); insulin aspart, human (day 52, for 28 days); insulin aspart, human (day 111, for 0 days); insulin degludec (day 111, for 0 day"/>
    <m/>
  </r>
  <r>
    <x v="2"/>
    <n v="515410701"/>
    <n v="58"/>
    <s v="Female"/>
    <s v="-59 days - 6072 days"/>
    <s v="Office Visit"/>
    <s v="Type 1 diabetes mellitus (EHR); Type 2 diabetes mellitus (EHR);"/>
    <m/>
    <m/>
    <m/>
    <s v="insulin isophane (day -32, for 335 days);"/>
    <m/>
    <m/>
    <m/>
    <s v="Type 2 diabetes mellitus (day 0)"/>
    <s v="Nonproliferative retinopathy of right eye due to diabetes mellitus (day 2733); Preproliferative retinopathy of left eye due to diabetes mellitus (day 2847); Preproliferative retinopathy of right eye due to diabetes mellitus (day 2847)"/>
    <m/>
    <s v="insulin isophane (day 335, for 340 days); insulin glargine (day 662, for 43 days); insulin aspart protamine, human (day 690, for 1248 days); insulin aspart, human (day 690, for 1248 days); metformin (day 721, for 761 days); metformin (day 1516, for 409 da"/>
    <m/>
  </r>
  <r>
    <x v="1"/>
    <n v="603810956"/>
    <n v="18"/>
    <s v="Female"/>
    <s v="-1360 days - 114 days"/>
    <s v="Office Visit"/>
    <s v="Type 1 diabetes mellitus (EHR);"/>
    <m/>
    <m/>
    <m/>
    <s v="insulin, regular, human (day -722, for 29 days); insulin isophane (day -722, for 27 days);"/>
    <m/>
    <m/>
    <m/>
    <m/>
    <m/>
    <m/>
    <m/>
    <m/>
  </r>
  <r>
    <x v="0"/>
    <n v="689210365"/>
    <n v="71"/>
    <s v="Male"/>
    <s v="-616 days - 4781 days"/>
    <s v="Office Visit-&gt;Office Visit"/>
    <s v="Type 1 diabetes mellitus (EHR); Type 1 diabetes mellitus (EHR);"/>
    <s v="Type 2 diabetes mellitus (day -275)"/>
    <m/>
    <m/>
    <s v="metformin (day -535, for 27 days); metformin (day -468, for 27 days); metformin (day -401, for 27 days); metformin (day -343, for 27 days); metformin (day -275, for 27 days); metformin (day -147, for 80 days); rosiglitazone (day -52, for 52 days); metform"/>
    <m/>
    <m/>
    <s v="Glucose measurement, blood (13.3 millimole per liter, abnormal - high, day -8); HbA1c measurement (DCCT aligned) (10.6 percent, day -7);"/>
    <m/>
    <s v="Neuropathic arthropathy due to diabetes mellitus (day 2801); Retinopathy due to diabetes mellitus (day 1747, 2909); Type 1 diabetes mellitus (day 116, 174)"/>
    <m/>
    <s v="insulin isophane (day 0, for 29 days); insulin, regular, human (day 25, for 27 days); insulin, regular, human (day 118, for 83 days); insulin isophane (day 121, for 29 days); insulin isophane (day 263, for 29 days); insulin isophane (day 370, for 29 days)"/>
    <m/>
  </r>
  <r>
    <x v="0"/>
    <n v="726310128"/>
    <n v="17"/>
    <s v="Female"/>
    <s v="-2750 days - 3041 days"/>
    <s v="Office Visit"/>
    <s v="Type 1 diabetes mellitus (EHR);"/>
    <m/>
    <m/>
    <m/>
    <m/>
    <m/>
    <m/>
    <s v="Glucose measurement, blood (33.2 millimole per liter, day 0);"/>
    <m/>
    <m/>
    <m/>
    <s v="insulin detemir (day 7, for 0 days); insulin aspart, human (day 7, for 0 days); insulin aspart, human (day 41, for 0 days); insulin detemir (day 41, for 0 days); insulin detemir (day 154, for 22 days); insulin aspart, human (day 154, for 22 days); insulin"/>
    <m/>
  </r>
  <r>
    <x v="0"/>
    <n v="740710960"/>
    <n v="12"/>
    <s v="Female"/>
    <s v="-4109 days - 3892 days"/>
    <s v="Office Visit"/>
    <s v="Type 1 diabetes mellitus (EHR);"/>
    <m/>
    <m/>
    <m/>
    <m/>
    <m/>
    <m/>
    <s v="HbA1c measurement (DCCT aligned) (102 millimole per mole, day 0);"/>
    <m/>
    <s v="Nonproliferative retinopathy of left eye due to diabetes mellitus (day 1909, 2798, 3771)"/>
    <m/>
    <s v="insulin detemir (day 7, for 29 days); insulin aspart, human (day 7, for 27 days); insulin glargine (day 64, for 0 days); insulin aspart, human (day 75, for 27 days); insulin glargine (day 103, for 0 days); insulin aspart, human (day 135, for 548 days); in"/>
    <m/>
  </r>
  <r>
    <x v="0"/>
    <n v="741610129"/>
    <n v="24"/>
    <s v="Male"/>
    <s v="-269 days - 3335 days"/>
    <s v="Office Visit"/>
    <s v="Type 1 diabetes mellitus (EHR);"/>
    <s v="Diabetes mellitus (day -269)"/>
    <m/>
    <m/>
    <s v="insulin lispro (day -259, for 922 days); insulin lispro protamine, human (day -259, for 922 days);"/>
    <m/>
    <m/>
    <s v="HbA1c measurement (DCCT aligned) (14 percent, abnormal - high, day -17);"/>
    <m/>
    <s v="Ketoacidosis due to type 1 diabetes mellitus (day 372); Proliferative retinopathy of right eye with diabetes mellitus (day 1331)"/>
    <m/>
    <s v="insulin lispro (day 714, for 363 days); insulin lispro protamine, human (day 714, for 363 days); insulin lispro protamine, human (day 1127, for 95 days); insulin lispro (day 1127, for 95 days); insulin lispro (day 1266, for 342 days); insulin lispro prota"/>
    <m/>
  </r>
  <r>
    <x v="2"/>
    <n v="795410971"/>
    <n v="2"/>
    <s v="Female"/>
    <s v="-721 days - 3490 days"/>
    <s v="Office Visit"/>
    <s v="Type 1 diabetes mellitus (EHR);"/>
    <m/>
    <m/>
    <m/>
    <m/>
    <m/>
    <m/>
    <s v="HbA1c measurement (DCCT aligned) (31 millimole per mole, day 0);"/>
    <m/>
    <m/>
    <m/>
    <m/>
    <m/>
  </r>
  <r>
    <x v="1"/>
    <n v="818210372"/>
    <n v="57"/>
    <s v="Male"/>
    <s v="-844 days - 6331 days"/>
    <s v="Office Visit"/>
    <s v="Type 1 diabetes mellitus (EHR);"/>
    <m/>
    <m/>
    <m/>
    <s v="insulin isophane (day -690, for 24 days); insulin, regular, pork (day -690, for 24 days); insulin, regular, pork (day -598, for 24 days); insulin isophane (day -598, for 24 days); insulin, regular, human (day -514, for 27 days); insulin, regular, pork (da"/>
    <m/>
    <m/>
    <s v="Urine dipstick for glucose (Nil, day 1);"/>
    <m/>
    <m/>
    <m/>
    <s v="insulin isophane (day 15, for 24 days); insulin, regular, pork (day 15, for 24 days); insulin, regular, pork (day 127, for 24 days); insulin isophane (day 127, for 24 days); insulin, regular, pork (day 282, for 24 days); insulin isophane (day 282, for 24 "/>
    <m/>
  </r>
  <r>
    <x v="1"/>
    <n v="826210737"/>
    <n v="3"/>
    <s v="Female"/>
    <s v="-1045 days - 1862 days"/>
    <s v="Office Visit"/>
    <s v="Type 1 diabetes mellitus (EHR);"/>
    <m/>
    <m/>
    <m/>
    <m/>
    <m/>
    <m/>
    <m/>
    <m/>
    <m/>
    <m/>
    <s v="insulin, regular, human (day 53, for 2 days); insulin isophane (day 53, for 2 days); insulin aspart, human (day 83, for 27 days); insulin detemir (day 159, for 41 days); insulin aspart, human (day 173, for 27 days); insulin, regular, human (day 246, for 2"/>
    <m/>
  </r>
  <r>
    <x v="1"/>
    <n v="870510178"/>
    <n v="60"/>
    <s v="Male"/>
    <s v="-109 days - 9765 days"/>
    <s v="Office Visit-&gt;Office Visit"/>
    <s v="Type 1 diabetes mellitus (EHR);"/>
    <m/>
    <m/>
    <m/>
    <m/>
    <m/>
    <m/>
    <m/>
    <s v="Diabetes mellitus (day 74)"/>
    <s v="Nonproliferative retinopathy of right eye due to diabetes mellitus (day 9193); Type 1 diabetes mellitus (day 2279, 8866)"/>
    <m/>
    <s v="insulin, regular, human (day 74, for 29 days); insulin isophane (day 74, for 27 days); insulin isophane (day 176, for 27 days); insulin, regular, human (day 176, for 29 days); insulin, regular, human (day 312, for 29 days); insulin isophane (day 312, for "/>
    <m/>
  </r>
  <r>
    <x v="0"/>
    <n v="888710791"/>
    <n v="12"/>
    <s v="Female"/>
    <s v="-4300 days - 2667 days"/>
    <s v="Office Visit-&gt;Office Visit"/>
    <s v="Type 1 diabetes mellitus (EHR);"/>
    <m/>
    <m/>
    <m/>
    <m/>
    <m/>
    <m/>
    <s v="HbA1c measurement (DCCT aligned) (100 millimole per mole, day 0);"/>
    <m/>
    <m/>
    <m/>
    <s v="insulin detemir (day 2, for 27 days); insulin aspart, human (day 2, for 27 days); insulin aspart, human (day 61, for 815 days); insulin detemir (day 96, for 450 days); insulin detemir (day 610, for 266 days); insulin aspart, human (day 929, for 1742 days)"/>
    <m/>
  </r>
  <r>
    <x v="2"/>
    <n v="932610840"/>
    <n v="13"/>
    <s v="Female"/>
    <s v="-2926 days - 3431 days"/>
    <s v="Office Visit"/>
    <s v="Type 1 diabetes mellitus (EHR);"/>
    <s v="Steroid-induced diabetes (day -64)"/>
    <m/>
    <m/>
    <m/>
    <m/>
    <m/>
    <s v="HbA1c measurement (DCCT aligned) (30 millimole per mole, day 21);"/>
    <s v="Steroid-induced diabetes (day -64)"/>
    <m/>
    <m/>
    <s v="insulin detemir (day 0, for 27 days); insulin aspart, human (day 0, for 27 days);"/>
    <m/>
  </r>
  <r>
    <x v="0"/>
    <n v="954410764"/>
    <n v="19"/>
    <s v="Female"/>
    <s v="-3400 days - 4459 days"/>
    <s v="Office Visit-&gt;Office Visit"/>
    <s v="Type 1 diabetes mellitus (EHR);"/>
    <m/>
    <m/>
    <m/>
    <m/>
    <m/>
    <m/>
    <s v="Glucose measurement, blood (14.3 millimole per liter, abnormal - high, day -1); HbA1c measurement (DCCT aligned) (14.8 percent, abnormal - high, day -1); HbA1c measurement (DCCT aligned) (0 , day -1); HbA1c measurement (DCCT aligned) (10.6 , day 1);"/>
    <m/>
    <m/>
    <m/>
    <s v="insulin detemir (day 0, for 64 days); insulin aspart, human (day 0, for 37 days); insulin aspart, human (day 70, for 14 days); insulin aspart, human (day 128, for 21 days); insulin detemir (day 128, for 273 days); insulin aspart, human (day 181, for 0 day"/>
    <m/>
  </r>
  <r>
    <x v="1"/>
    <n v="959010761"/>
    <n v="9"/>
    <s v="Female"/>
    <s v="-3233 days - 5447 days"/>
    <s v="Office Visit"/>
    <s v="Type 1 diabetes mellitus (EHR);"/>
    <s v="Candidiasis of mouth (day -2750)"/>
    <m/>
    <m/>
    <m/>
    <m/>
    <m/>
    <m/>
    <m/>
    <s v="Ketoacidosis due to type 1 diabetes mellitus (day 3149); Nonproliferative retinopathy of left eye due to diabetes mellitus (day 1262, 1968, 4751, 4852); Nonproliferative retinopathy of right eye due to diabetes mellitus (day 4299, 4751, 4852)"/>
    <m/>
    <s v="insulin isophane (day 5, for 97 days); insulin aspart, human (day 5, for 0 days); insulin, regular, human (day 5, for 97 days); insulin detemir (day 5, for 21 days); insulin detemir (day 92, for 28 days); insulin aspart, human (day 93, for 27 days); insul"/>
    <m/>
  </r>
  <r>
    <x v="1"/>
    <n v="1084310679"/>
    <n v="14"/>
    <s v="Male"/>
    <s v="-3543 days - 3451 days"/>
    <s v="Office Visit"/>
    <s v="Type 1 diabetes mellitus (EHR);"/>
    <m/>
    <m/>
    <m/>
    <m/>
    <m/>
    <m/>
    <m/>
    <s v="Subcapsular cataract (day 48)"/>
    <m/>
    <m/>
    <s v="insulin detemir (day 13, for 0 days); insulin aspart, human (day 13, for 3428 days); insulin detemir (day 67, for 0 days); insulin detemir (day 132, for 0 days); insulin detemir (day 173, for 0 days); insulin detemir (day 237, for 0 days); insulin detemir"/>
    <m/>
  </r>
  <r>
    <x v="1"/>
    <n v="1084510775"/>
    <n v="14"/>
    <s v="Female"/>
    <s v="-810 days - 5711 days"/>
    <s v="Office Visit"/>
    <s v="Type 1 diabetes mellitus (EHR);"/>
    <s v="Diabetes mellitus (day -807)"/>
    <m/>
    <m/>
    <s v="insulin isophane (day -795, for 121 days); insulin, regular, human (day -795, for 121 days); insulin, regular, human (day -639, for 29 days); insulin isophane (day -639, for 29 days); insulin, regular, human (day -568, for 29 days); insulin isophane (day "/>
    <m/>
    <m/>
    <s v="HbA1c measurement (DCCT aligned) (9.5 , day -18);"/>
    <m/>
    <s v="Disorder of left macula due to diabetes mellitus (day 3076); Disorder of right macula due to diabetes mellitus (day 4175); Nonproliferative retinopathy of left eye due to diabetes mellitus (day 3076, 3245, 4175); Nonproliferative retinopathy of right eye "/>
    <m/>
    <s v="insulin, regular, human (day 3, for 29 days); insulin aspart, human (day 3, for 27 days); insulin isophane (day 3, for 29 days); insulin aspart, human (day 73, for 93 days); insulin isophane (day 73, for 95 days); insulin, regular, human (day 73, for 95 d"/>
    <m/>
  </r>
  <r>
    <x v="0"/>
    <n v="1086910999"/>
    <n v="27"/>
    <s v="Male"/>
    <s v="-6397 days - 478 days"/>
    <s v="Office Visit"/>
    <s v="Type 1 diabetes mellitus (EHR);"/>
    <m/>
    <m/>
    <m/>
    <m/>
    <m/>
    <m/>
    <s v="Glucose measurement, blood (17.5 millimole per liter, abnormal - high, day -2); HbA1c measurement (DCCT aligned) (127 millimole per mole, abnormal - high, day -2); HbA1c measurement (DCCT aligned) (day -2); Glucose measurement, blood (day -2);"/>
    <m/>
    <m/>
    <m/>
    <s v="insulin aspart, human (day 7, for 20 days); insulin degludec (day 7, for 20 days); insulin aspart, human (day 96, for 0 days); insulin degludec (day 96, for 0 days); insulin aspart, human (day 166, for 30 days); insulin degludec (day 195, for 0 days); ins"/>
    <m/>
  </r>
  <r>
    <x v="0"/>
    <n v="1377210629"/>
    <n v="50"/>
    <s v="Female"/>
    <s v="-364 days - 824 days"/>
    <s v="Office Visit"/>
    <s v="Type 1 diabetes mellitus (EHR);"/>
    <s v="Family history of diabetes mellitus (day -358)"/>
    <m/>
    <m/>
    <m/>
    <m/>
    <m/>
    <s v="Glucose measurement, blood (15 millimole per liter, day -9); HbA1c measurement (DCCT aligned) (10.9 percent, day 7);"/>
    <m/>
    <m/>
    <m/>
    <s v="insulin aspart, human (day 0, for 0 days); insulin aspart protamine, human (day 0, for 0 days); insulin aspart protamine, human (day 140, for 11 days); insulin aspart, human (day 140, for 11 days); insulin aspart, human (day 195, for 0 days); insulin aspa"/>
    <m/>
  </r>
  <r>
    <x v="0"/>
    <n v="1559910397"/>
    <n v="13"/>
    <s v="Male"/>
    <s v="-1271 days - 1814 days"/>
    <s v="Office Visit-&gt;Office Visit"/>
    <s v="Type 1 diabetes mellitus (EHR);"/>
    <m/>
    <m/>
    <m/>
    <s v="insulin aspart, human (day -6, for 27 days); insulin isophane (day -6, for 46 days); insulin, regular, human (day -6, for 46 days);"/>
    <m/>
    <m/>
    <s v="Glucose measurement, blood (18.4 millimole per liter, day -11);"/>
    <m/>
    <s v="Type 1 diabetes mellitus (day 409)"/>
    <m/>
    <s v="insulin aspart, human (day 101, for 27 days); insulin aspart protamine, human (day 101, for 27 days); insulin aspart, human (day 164, for 72 days); insulin aspart protamine, human (day 164, for 72 days); insulin lispro protamine, human (day 245, for 105 d"/>
    <m/>
  </r>
  <r>
    <x v="0"/>
    <n v="1602410226"/>
    <n v="27"/>
    <s v="Female"/>
    <s v="-76 days - 421 days"/>
    <s v="Office Visit"/>
    <s v="Type 1 diabetes mellitus (EHR);"/>
    <m/>
    <m/>
    <m/>
    <s v="insulin aspart, human (day -63, for 380 days); insulin isophane (day -63, for 182 days);"/>
    <m/>
    <m/>
    <s v="HbA1c measurement (DCCT aligned) (8.6 percent, day -12); HbA1c measurement (DCCT aligned) (71 millimole per mole, day -12);"/>
    <m/>
    <m/>
    <m/>
    <s v="insulin glargine (day 109, for 0 days); insulin glargine (day 141, for 27 days); insulin glargine (day 207, for 0 days); insulin glargine (day 245, for 25 days); insulin aspart, human (day 354, for 69 days); insulin glargine (day 354, for 0 days);"/>
    <m/>
  </r>
  <r>
    <x v="1"/>
    <n v="1620610573"/>
    <n v="63"/>
    <s v="Female"/>
    <s v="-946 days - 477 days"/>
    <s v="Office Visit"/>
    <s v="Type 1 diabetes mellitus (EHR);"/>
    <s v="Bilateral cataracts (day -896); Diabetes mellitus (day -919)"/>
    <m/>
    <m/>
    <s v="insulin isophane (day -490, for 54 days); insulin isophane (day -362, for 68 days); insulin isophane (day -247, for 27 days); insulin isophane (day -163, for 27 days);"/>
    <m/>
    <m/>
    <m/>
    <m/>
    <m/>
    <m/>
    <s v="insulin isophane (day 47, for 82 days); insulin isophane (day 246, for 27 days); insulin isophane (day 335, for 7 days); insulin isophane (day 415, for 87 days);"/>
    <m/>
  </r>
  <r>
    <x v="0"/>
    <n v="1675410922"/>
    <n v="31"/>
    <s v="Male"/>
    <s v="-2528 days - 653 days"/>
    <s v="Office Visit"/>
    <s v="Type 1 diabetes mellitus (EHR);"/>
    <m/>
    <m/>
    <m/>
    <m/>
    <m/>
    <m/>
    <s v="HbA1c measurement (DCCT aligned) (89 millimole per mole, abnormal - high, day 14); Glucose measurement, blood (19.6 millimole per liter, day 14); Glucose measurement, blood (20.9 millimole per liter, abnormal - high, day 14); Glucose measurement, blood (d"/>
    <m/>
    <m/>
    <m/>
    <s v="insulin detemir (day 14, for 35 days); insulin aspart, human (day 19, for 27 days); metformin (day 22, for 27 days); insulin aspart, human (day 90, for 0 days); insulin degludec (day 90, for 0 days); insulin degludec (day 131, for 0 days); insulin aspart,"/>
    <m/>
  </r>
  <r>
    <x v="1"/>
    <n v="1759410412"/>
    <n v="68"/>
    <s v="Female"/>
    <s v="-36 days - 1386 days"/>
    <s v="Office Visit"/>
    <s v="Type 1 diabetes mellitus (EHR);"/>
    <s v="Ketoacidosis (day -35)"/>
    <m/>
    <m/>
    <m/>
    <m/>
    <m/>
    <m/>
    <s v="Ketoacidosis (day -35)"/>
    <s v="Disorder of macula due to diabetes mellitus (day 879); Disorder of nervous system due to diabetes mellitus (day 125); Peripheral vascular disorder due to diabetes mellitus (day 125)"/>
    <m/>
    <s v="insulin aspart, human (day 0, for 29 days); insulin glargine (day 65, for 51 days); insulin aspart, human (day 65, for 51 days); insulin aspart, human (day 174, for 27 days); insulin glargine (day 174, for 27 days); insulin glargine (day 250, for 27 days)"/>
    <m/>
  </r>
  <r>
    <x v="1"/>
    <n v="1833510766"/>
    <n v="4"/>
    <s v="Female"/>
    <s v="-1405 days - 5656 days"/>
    <s v="Office Visit"/>
    <s v="Type 1 diabetes mellitus (EHR);"/>
    <m/>
    <m/>
    <m/>
    <m/>
    <m/>
    <m/>
    <s v="HbA1c measurement (DCCT aligned) (9.7 , day -1);"/>
    <m/>
    <s v="Ketoacidosis due to type 1 diabetes mellitus (day 4718)"/>
    <m/>
    <s v="insulin, regular, human (day 2, for 28 days); insulin isophane (day 2, for 28 days); insulin lispro (day 58, for 27 days); insulin isophane (day 75, for 27 days); insulin, regular, human (day 75, for 27 days); insulin, regular, human (day 191, for 133 day"/>
    <m/>
  </r>
  <r>
    <x v="0"/>
    <n v="2079410115"/>
    <n v="48"/>
    <s v="Female"/>
    <s v="-6 days - 554 days"/>
    <s v="Office Visit-&gt;Office Visit"/>
    <s v="Type 1 diabetes mellitus (EHR); Type 1 diabetes mellitus (EHR);"/>
    <m/>
    <m/>
    <m/>
    <m/>
    <m/>
    <m/>
    <s v="HbA1c measurement (DCCT aligned) (63 millimole per mole, day 30);"/>
    <m/>
    <s v="Type 1 diabetes mellitus (day 161, 196, 275, 336, 497)"/>
    <m/>
    <s v="insulin aspart, human (day 6, for 0 days); insulin degludec (day 6, for 0 days); insulin aspart, human (day 75, for 0 days); insulin degludec (day 75, for 0 days); insulin degludec (day 142, for 0 days); insulin aspart, human (day 142, for 0 days); insuli"/>
    <m/>
  </r>
  <r>
    <x v="1"/>
    <n v="2134710591"/>
    <n v="41"/>
    <s v="Female"/>
    <s v="-2335 days - 2494 days"/>
    <s v="Office Visit"/>
    <s v="Type 1 diabetes mellitus (EHR);"/>
    <s v="Family history of diabetes mellitus (day -2328)"/>
    <m/>
    <m/>
    <m/>
    <m/>
    <m/>
    <m/>
    <m/>
    <m/>
    <m/>
    <s v="insulin lispro (day 0, for 0 days); insulin lispro (day 53, for 0 days); metformin (day 53, for 104 days); insulin lispro (day 102, for 0 days); metformin (day 223, for 55 days); insulin lispro (day 223, for 19 days); insulin lispro (day 311, for 0 days);"/>
    <m/>
  </r>
  <r>
    <x v="0"/>
    <n v="2335110194"/>
    <n v="56"/>
    <s v="Male"/>
    <s v="-1133 days - 5348 days"/>
    <s v="Office Visit-&gt;Office Visit"/>
    <s v="Type 1 diabetes mellitus (EHR);"/>
    <s v="Diabetes mellitus (day -1125); Type 2 diabetes mellitus (day -1125, -726)"/>
    <m/>
    <s v="Neuropathy due to diabetes mellitus (day -169); Retinopathy due to diabetes mellitus (day -978, -414)"/>
    <s v="metformin (day -1125, for 817 days); glyburide (day -1125, for 232 days); glyburide (day -847, for 342 days); metformin (day -260, for 1353 days); acarbose (day -85, for 845 days);"/>
    <m/>
    <m/>
    <s v="HbA1c measurement (DCCT aligned) (10.2 percent, abnormal - high, day -11); Glucose measurement, blood (12.3 millimole per liter, day -11);"/>
    <m/>
    <s v="Disorder of right macula due to diabetes mellitus (day 4250); Neuropathy due to diabetes mellitus (day 532, 3377); Nonproliferative retinopathy of left eye due to diabetes mellitus (day 3762); Nonproliferative retinopathy of right eye due to diabetes mell"/>
    <m/>
    <s v="insulin isophane (day 0, for 42 days); insulin isophane (day 94, for 67 days); insulin isophane (day 204, for 258 days); insulin isophane (day 497, for 590 days); acarbose (day 806, for 91 days); acarbose (day 933, for 162 days); metformin (day 1136, for "/>
    <m/>
  </r>
  <r>
    <x v="0"/>
    <n v="2482010040"/>
    <n v="39"/>
    <s v="Male"/>
    <s v="-25 days - 235 days"/>
    <s v="Office Visit"/>
    <s v="Type 1 diabetes mellitus (EHR);"/>
    <s v="Diabetes mellitus (day -3); Family history of diabetes mellitus (day -3)"/>
    <m/>
    <m/>
    <s v="insulin aspart, human (day -10, for 28 days); insulin glargine (day -10, for 55 days);"/>
    <m/>
    <m/>
    <s v="Urine screening for glucose (day -14); Urine screening for glucose (day -11); Serum fasting glucose measurement (11.5 millimole per liter, abnormal - high, day -6);"/>
    <s v="Diabetes mellitus (day -3)"/>
    <m/>
    <m/>
    <s v="insulin glargine (day 147, for 27 days);"/>
    <m/>
  </r>
  <r>
    <x v="1"/>
    <n v="2489610789"/>
    <n v="21"/>
    <s v="Female"/>
    <s v="-166 days - 589 days"/>
    <s v="Office Visit-&gt;Office Visit"/>
    <s v="Type 1 diabetes mellitus (EHR);"/>
    <m/>
    <m/>
    <m/>
    <m/>
    <m/>
    <m/>
    <m/>
    <m/>
    <s v="Type 1 diabetes mellitus (day 243)"/>
    <m/>
    <s v="insulin detemir (day 370, for 37 days); insulin lispro (day 425, for 0 days); insulin detemir (day 474, for 27 days); insulin lispro (day 474, for 0 days); insulin lispro (day 565, for 27 days);"/>
    <m/>
  </r>
  <r>
    <x v="1"/>
    <n v="2615910492"/>
    <n v="29"/>
    <s v="Male"/>
    <s v="-3 days - 1341 days"/>
    <s v="Office Visit"/>
    <s v="Type 1 diabetes mellitus (EHR);"/>
    <m/>
    <m/>
    <m/>
    <m/>
    <m/>
    <m/>
    <m/>
    <s v="Nonproliferative retinopathy due to diabetes mellitus (day 17)"/>
    <s v="Disorder of left macula due to diabetes mellitus (day 1212); Disorder of right macula due to diabetes mellitus (day 291, 1212); Nonproliferative retinopathy due to diabetes mellitus (day 17, 540); Nonproliferative retinopathy of left eye due to diabetes m"/>
    <m/>
    <s v="insulin aspart, human (day 0, for 0 days); insulin glargine (day 0, for 0 days); insulin aspart, human (day 78, for 0 days); insulin glargine (day 78, for 0 days); insulin aspart, human (day 133, for 0 days); insulin aspart, human (day 231, for 0 days); i"/>
    <m/>
  </r>
  <r>
    <x v="1"/>
    <n v="2723810058"/>
    <n v="72"/>
    <s v="Male"/>
    <s v="-3744 days - 696 days"/>
    <s v="Office Visit"/>
    <s v="Type 1 diabetes mellitus (EHR);"/>
    <s v="Cataract (day -543); Diabetes mellitus (day -3729, -3675, -3640, -3605, -3479, -3256); Family history of diabetes mellitus (day -3736, -158); Type 2 diabetes mellitus (day -3736)"/>
    <m/>
    <s v="Disorder of macula due to diabetes mellitus (day -2651); Neuropathy due to diabetes mellitus (day -3729); Preproliferative retinopathy due to diabetes mellitus (day -543)"/>
    <s v="glipizide (day -3729, for 83 days); metformin (day -3729, for 81 days); glimepiride (day -3675, for 509 days); insulin isophane (day -3632, for 123 days); metformin (day -3606, for 440 days); insulin isophane (day -3442, for 27 days); insulin isophane (da"/>
    <m/>
    <m/>
    <m/>
    <m/>
    <m/>
    <m/>
    <s v="insulin detemir (day 36, for 27 days); insulin glargine (day 57, for 0 days); insulin glargine (day 93, for 81 days); insulin glargine (day 205, for 28 days); insulin glargine (day 266, for 297 days); insulin glargine (day 596, for 82 days);"/>
    <m/>
  </r>
  <r>
    <x v="0"/>
    <n v="2850010979"/>
    <n v="2"/>
    <s v="Male"/>
    <s v="-630 days - 2283 days"/>
    <s v="Office Visit"/>
    <s v="Type 1 diabetes mellitus (EHR);"/>
    <m/>
    <m/>
    <m/>
    <m/>
    <m/>
    <m/>
    <s v="HbA1c measurement (DCCT aligned) (70 millimole per mole, day 27);"/>
    <m/>
    <m/>
    <m/>
    <s v="insulin detemir (day 12, for 0 days); insulin aspart, human (day 12, for 1 days); insulin detemir (day 55, for 0 days); insulin aspart, human (day 55, for 1 days); insulin aspart, human (day 97, for 1 days); insulin detemir (day 97, for 0 days); insulin a"/>
    <m/>
  </r>
  <r>
    <x v="1"/>
    <n v="2946010373"/>
    <n v="31"/>
    <s v="Male"/>
    <s v="-85 days - 2316 days"/>
    <s v="Office Visit-&gt;Office Visit"/>
    <s v="Type 1 diabetes mellitus (EHR);"/>
    <m/>
    <m/>
    <m/>
    <s v="insulin glargine (day -36, for 0 days); insulin aspart, human (day -36, for 0 days);"/>
    <m/>
    <m/>
    <m/>
    <m/>
    <s v="Proliferative retinopathy of left eye due to diabetes mellitus (day 1343); Retinopathy due to type 1 diabetes mellitus (day 1496); Type 1 diabetes mellitus (day 750)"/>
    <m/>
    <s v="insulin aspart, human (day 17, for 0 days); insulin glargine (day 17, for 0 days); insulin aspart, human (day 80, for 0 days); insulin glargine (day 80, for 0 days); insulin glargine (day 182, for 0 days); insulin aspart, human (day 182, for 0 days); insu"/>
    <m/>
  </r>
  <r>
    <x v="1"/>
    <n v="3181110734"/>
    <n v="21"/>
    <s v="Male"/>
    <s v="-1 days - 115 days"/>
    <s v="Office Visit"/>
    <s v="Type 1 diabetes mellitus (EHR);"/>
    <m/>
    <m/>
    <m/>
    <m/>
    <m/>
    <m/>
    <m/>
    <m/>
    <m/>
    <m/>
    <s v="insulin aspart, human (day 0, for 123 days);"/>
    <m/>
  </r>
  <r>
    <x v="1"/>
    <n v="3212210166"/>
    <n v="39"/>
    <s v="Male"/>
    <s v="-11 days - 1130 days"/>
    <s v="Office Visit"/>
    <s v="Type 1 diabetes mellitus (EHR);"/>
    <m/>
    <m/>
    <m/>
    <m/>
    <m/>
    <m/>
    <m/>
    <m/>
    <s v="Diabetic ketoacidosis (day 741)"/>
    <m/>
    <s v="insulin aspart, human (day 35, for 763 days); insulin glargine (day 780, for 0 days); insulin glargine (day 848, for 0 days); insulin aspart, human (day 848, for 0 days); insulin aspart, human (day 911, for 0 days); insulin glargine (day 911, for 0 days);"/>
    <m/>
  </r>
  <r>
    <x v="0"/>
    <n v="3266510164"/>
    <n v="60"/>
    <s v="Male"/>
    <s v="-42 days - 4337 days"/>
    <s v="Office Visit"/>
    <s v="Type 1 diabetes mellitus (EHR);"/>
    <s v="Diabetes mellitus (day -38)"/>
    <m/>
    <m/>
    <s v="insulin glargine (day -10, for 82 days); insulin lispro (day -10, for 108 days);"/>
    <m/>
    <m/>
    <s v="Glucose measurement, blood (4.8 millimole per liter, day -7); HbA1c measurement (DCCT aligned) (8.8 percent, day -7);"/>
    <s v="Diabetes mellitus (day -38)"/>
    <s v="Disorder of macula due to diabetes mellitus (day 1708, 3890); Nonproliferative retinopathy due to diabetes mellitus (day 1782, 2755)"/>
    <m/>
    <s v="insulin lispro (day 137, for 65 days); insulin glargine (day 137, for 65 days); insulin lispro (day 255, for 360 days); insulin glargine (day 326, for 27 days); insulin glargine (day 457, for 77 days); insulin lispro (day 651, for 349 days); insulin glarg"/>
    <m/>
  </r>
  <r>
    <x v="1"/>
    <n v="3354710424"/>
    <n v="24"/>
    <s v="Male"/>
    <s v="-26 days - 456 days"/>
    <s v="Office Visit-&gt;Office Visit"/>
    <s v="Type 1 diabetes mellitus (EHR);"/>
    <m/>
    <m/>
    <m/>
    <m/>
    <m/>
    <m/>
    <m/>
    <m/>
    <s v="Type 1 diabetes mellitus (day 100)"/>
    <m/>
    <s v="insulin glargine (day 4, for 52 days); insulin aspart, human (day 4, for 52 days); insulin aspart, human (day 189, for 0 days); insulin glargine (day 189, for 0 days); insulin glargine (day 309, for 0 days); insulin aspart, human (day 309, for 0 days); in"/>
    <m/>
  </r>
  <r>
    <x v="1"/>
    <n v="9461110544"/>
    <n v="3"/>
    <s v="Female"/>
    <s v="-71 days - 860 days"/>
    <s v="Office Visit"/>
    <s v="Type 1 diabetes mellitus (EHR);"/>
    <m/>
    <m/>
    <m/>
    <m/>
    <m/>
    <m/>
    <m/>
    <m/>
    <m/>
    <m/>
    <s v="insulin, regular, human (day 0, for 27 days); insulin isophane (day 0, for 27 days); insulin, regular, human (day 64, for 172 days); insulin isophane (day 64, for 172 days); insulin aspart, human (day 211, for 27 days); insulin, regular, human (day 316, f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69742-3D31-C245-9FB4-240CD029DFCC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6" firstHeaderRow="1" firstDataRow="1" firstDataCol="1"/>
  <pivotFields count="20">
    <pivotField showAll="0"/>
    <pivotField showAll="0">
      <items count="82">
        <item x="34"/>
        <item x="0"/>
        <item x="12"/>
        <item x="32"/>
        <item x="35"/>
        <item x="36"/>
        <item x="11"/>
        <item x="37"/>
        <item x="13"/>
        <item x="2"/>
        <item x="4"/>
        <item x="14"/>
        <item x="38"/>
        <item x="39"/>
        <item x="40"/>
        <item x="41"/>
        <item x="5"/>
        <item x="10"/>
        <item x="15"/>
        <item x="42"/>
        <item x="16"/>
        <item x="43"/>
        <item x="17"/>
        <item x="44"/>
        <item x="18"/>
        <item x="45"/>
        <item x="46"/>
        <item x="28"/>
        <item x="47"/>
        <item x="48"/>
        <item x="49"/>
        <item x="19"/>
        <item x="50"/>
        <item x="51"/>
        <item x="29"/>
        <item x="52"/>
        <item x="53"/>
        <item x="20"/>
        <item x="54"/>
        <item x="55"/>
        <item x="56"/>
        <item x="30"/>
        <item x="8"/>
        <item x="21"/>
        <item x="57"/>
        <item x="58"/>
        <item x="59"/>
        <item x="31"/>
        <item x="60"/>
        <item x="6"/>
        <item x="22"/>
        <item x="61"/>
        <item x="62"/>
        <item x="63"/>
        <item x="64"/>
        <item x="23"/>
        <item x="65"/>
        <item x="66"/>
        <item x="24"/>
        <item x="25"/>
        <item x="67"/>
        <item x="68"/>
        <item x="69"/>
        <item x="1"/>
        <item x="7"/>
        <item x="70"/>
        <item x="71"/>
        <item x="26"/>
        <item x="72"/>
        <item x="73"/>
        <item x="74"/>
        <item x="75"/>
        <item x="76"/>
        <item x="77"/>
        <item x="78"/>
        <item x="79"/>
        <item x="33"/>
        <item x="27"/>
        <item x="9"/>
        <item x="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ClinicalLabel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18AAC-E514-4046-9F67-8450EF3AA386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6" firstHeaderRow="1" firstDataRow="1" firstDataCol="1"/>
  <pivotFields count="19"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Adjudication (Choose One from Drop Down)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1F193-7FFA-6145-8343-34352C15CF18}" name="PivotTable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7" firstHeaderRow="1" firstDataRow="1" firstDataCol="1"/>
  <pivotFields count="19"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judication (Choose One from Drop Down)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A5547-4EEF-7E49-A5DF-45C900BAAB7F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7" firstHeaderRow="1" firstDataRow="1" firstDataCol="1"/>
  <pivotFields count="19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judication (Choose One from Drop Down)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A48B-4A10-E84D-B184-6DCF5BD3F370}">
  <dimension ref="A1:J6"/>
  <sheetViews>
    <sheetView tabSelected="1" workbookViewId="0">
      <selection activeCell="D24" sqref="D24"/>
    </sheetView>
  </sheetViews>
  <sheetFormatPr baseColWidth="10" defaultRowHeight="16" x14ac:dyDescent="0.2"/>
  <cols>
    <col min="1" max="1" width="3.6640625" bestFit="1" customWidth="1"/>
    <col min="3" max="3" width="6.6640625" bestFit="1" customWidth="1"/>
    <col min="4" max="4" width="6.1640625" bestFit="1" customWidth="1"/>
    <col min="5" max="5" width="9.5" bestFit="1" customWidth="1"/>
    <col min="6" max="6" width="6.1640625" bestFit="1" customWidth="1"/>
    <col min="7" max="7" width="9.5" bestFit="1" customWidth="1"/>
    <col min="8" max="8" width="6.1640625" bestFit="1" customWidth="1"/>
    <col min="9" max="9" width="7" bestFit="1" customWidth="1"/>
    <col min="10" max="10" width="6.1640625" bestFit="1" customWidth="1"/>
  </cols>
  <sheetData>
    <row r="1" spans="1:10" x14ac:dyDescent="0.2">
      <c r="A1" s="20" t="s">
        <v>411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ht="34" customHeight="1" x14ac:dyDescent="0.2">
      <c r="A2" s="23" t="s">
        <v>417</v>
      </c>
      <c r="B2" s="13"/>
      <c r="C2" s="13" t="s">
        <v>412</v>
      </c>
      <c r="D2" s="13" t="s">
        <v>413</v>
      </c>
      <c r="E2" s="13" t="s">
        <v>414</v>
      </c>
      <c r="F2" s="13" t="s">
        <v>413</v>
      </c>
      <c r="G2" s="13" t="s">
        <v>415</v>
      </c>
      <c r="H2" s="13" t="s">
        <v>413</v>
      </c>
      <c r="I2" s="13" t="s">
        <v>416</v>
      </c>
      <c r="J2" s="15" t="s">
        <v>413</v>
      </c>
    </row>
    <row r="3" spans="1:10" ht="16" customHeight="1" x14ac:dyDescent="0.2">
      <c r="A3" s="23"/>
      <c r="B3" s="13" t="s">
        <v>63</v>
      </c>
      <c r="C3" s="13">
        <v>18</v>
      </c>
      <c r="D3" s="14">
        <f>C3/81</f>
        <v>0.22222222222222221</v>
      </c>
      <c r="E3" s="13">
        <v>21</v>
      </c>
      <c r="F3" s="14">
        <f>E3/81</f>
        <v>0.25925925925925924</v>
      </c>
      <c r="G3" s="13">
        <v>11</v>
      </c>
      <c r="H3" s="14">
        <f>G3/81</f>
        <v>0.13580246913580246</v>
      </c>
      <c r="I3" s="13">
        <v>4</v>
      </c>
      <c r="J3" s="16">
        <f>I3/81</f>
        <v>4.9382716049382713E-2</v>
      </c>
    </row>
    <row r="4" spans="1:10" x14ac:dyDescent="0.2">
      <c r="A4" s="23"/>
      <c r="B4" s="13" t="s">
        <v>29</v>
      </c>
      <c r="C4" s="13">
        <v>63</v>
      </c>
      <c r="D4" s="14">
        <f>C4/81</f>
        <v>0.77777777777777779</v>
      </c>
      <c r="E4" s="13">
        <v>60</v>
      </c>
      <c r="F4" s="14">
        <f>E4/81</f>
        <v>0.7407407407407407</v>
      </c>
      <c r="G4" s="13">
        <v>50</v>
      </c>
      <c r="H4" s="14">
        <f>G4/91</f>
        <v>0.5494505494505495</v>
      </c>
      <c r="I4" s="13">
        <v>47</v>
      </c>
      <c r="J4" s="16">
        <f>I4/81</f>
        <v>0.58024691358024694</v>
      </c>
    </row>
    <row r="5" spans="1:10" ht="17" thickBot="1" x14ac:dyDescent="0.25">
      <c r="A5" s="24"/>
      <c r="B5" s="17" t="s">
        <v>418</v>
      </c>
      <c r="C5" s="17">
        <v>0</v>
      </c>
      <c r="D5" s="18">
        <f>C5/81</f>
        <v>0</v>
      </c>
      <c r="E5" s="17">
        <v>0</v>
      </c>
      <c r="F5" s="18">
        <f>E5/81</f>
        <v>0</v>
      </c>
      <c r="G5" s="17">
        <v>20</v>
      </c>
      <c r="H5" s="18">
        <f>G5/81</f>
        <v>0.24691358024691357</v>
      </c>
      <c r="I5" s="17">
        <v>30</v>
      </c>
      <c r="J5" s="19">
        <f>I5/81</f>
        <v>0.37037037037037035</v>
      </c>
    </row>
    <row r="6" spans="1:10" ht="16" customHeight="1" x14ac:dyDescent="0.2">
      <c r="J6" s="12"/>
    </row>
  </sheetData>
  <mergeCells count="2">
    <mergeCell ref="A1:J1"/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3C2E-0653-3647-BE4C-EEC27BA271D2}">
  <dimension ref="A1:F82"/>
  <sheetViews>
    <sheetView workbookViewId="0">
      <selection activeCell="I27" sqref="I27"/>
    </sheetView>
  </sheetViews>
  <sheetFormatPr baseColWidth="10" defaultRowHeight="16" x14ac:dyDescent="0.2"/>
  <cols>
    <col min="1" max="1" width="10.83203125" style="8"/>
  </cols>
  <sheetData>
    <row r="1" spans="1:6" x14ac:dyDescent="0.2">
      <c r="A1" s="5" t="s">
        <v>1</v>
      </c>
      <c r="B1" t="s">
        <v>441</v>
      </c>
      <c r="C1" t="s">
        <v>412</v>
      </c>
      <c r="D1" t="s">
        <v>414</v>
      </c>
      <c r="E1" t="s">
        <v>415</v>
      </c>
      <c r="F1" t="s">
        <v>416</v>
      </c>
    </row>
    <row r="2" spans="1:6" x14ac:dyDescent="0.2">
      <c r="A2" s="8">
        <v>7810823</v>
      </c>
      <c r="B2" t="str">
        <f>INDEX(Clinician!S:S,MATCH('All by All'!A2,Clinician!A:A,0))</f>
        <v>CASE (complications + treatment)</v>
      </c>
      <c r="C2" t="str">
        <f>INDEX('GPT 5o'!T:T,MATCH('All by All'!A2,'GPT 5o'!B:B,0))</f>
        <v>Probable</v>
      </c>
      <c r="D2" t="str">
        <f>INDEX('Copilot 4o'!A:A,MATCH('All by All'!A2,'Copilot 4o'!B:B,0))</f>
        <v>Probable (Treatment Only)</v>
      </c>
      <c r="E2" t="str">
        <f>INDEX('Copilot 5o'!A:A,MATCH('All by All'!A2,'Copilot 5o'!B:B,0))</f>
        <v>Probable (Treatment Only)</v>
      </c>
      <c r="F2" t="str">
        <f>INDEX(Gemini!A:A,MATCH('All by All'!A2,Gemini!B:B,0))</f>
        <v>Case (Symptom+Treatment)</v>
      </c>
    </row>
    <row r="3" spans="1:6" x14ac:dyDescent="0.2">
      <c r="A3" s="8">
        <v>2352010389</v>
      </c>
      <c r="B3" t="str">
        <f>INDEX(Clinician!S:S,MATCH('All by All'!A3,Clinician!A:A,0))</f>
        <v>CASE (complications + treatment)</v>
      </c>
      <c r="C3" t="str">
        <f>INDEX('GPT 5o'!T:T,MATCH('All by All'!A3,'GPT 5o'!B:B,0))</f>
        <v>Probable</v>
      </c>
      <c r="D3" t="str">
        <f>INDEX('Copilot 4o'!A:A,MATCH('All by All'!A3,'Copilot 4o'!B:B,0))</f>
        <v>Probable (Treatment Only)</v>
      </c>
      <c r="E3" t="str">
        <f>INDEX('Copilot 5o'!A:A,MATCH('All by All'!A3,'Copilot 5o'!B:B,0))</f>
        <v>Case (Symptom+Treatment)</v>
      </c>
      <c r="F3" t="str">
        <f>INDEX(Gemini!A:A,MATCH('All by All'!A3,Gemini!B:B,0))</f>
        <v>Case (Symptom+Treatment)</v>
      </c>
    </row>
    <row r="4" spans="1:6" x14ac:dyDescent="0.2">
      <c r="A4" s="8">
        <v>244010017</v>
      </c>
      <c r="B4" t="str">
        <f>INDEX(Clinician!S:S,MATCH('All by All'!A4,Clinician!A:A,0))</f>
        <v>CASE (complications + treatment)</v>
      </c>
      <c r="C4" t="str">
        <f>INDEX('GPT 5o'!T:T,MATCH('All by All'!A4,'GPT 5o'!B:B,0))</f>
        <v>Probable</v>
      </c>
      <c r="D4" t="str">
        <f>INDEX('Copilot 4o'!A:A,MATCH('All by All'!A4,'Copilot 4o'!B:B,0))</f>
        <v>Probable (Treatment Only)</v>
      </c>
      <c r="E4" t="str">
        <f>INDEX('Copilot 5o'!A:A,MATCH('All by All'!A4,'Copilot 5o'!B:B,0))</f>
        <v>Case (Symptom+Treatment)</v>
      </c>
      <c r="F4" t="str">
        <f>INDEX(Gemini!A:A,MATCH('All by All'!A4,Gemini!B:B,0))</f>
        <v>Probable (Treatment Only)</v>
      </c>
    </row>
    <row r="5" spans="1:6" x14ac:dyDescent="0.2">
      <c r="A5" s="8">
        <v>5359010662</v>
      </c>
      <c r="B5" t="str">
        <f>INDEX(Clinician!S:S,MATCH('All by All'!A5,Clinician!A:A,0))</f>
        <v>PROBABLE (treatment only)</v>
      </c>
      <c r="C5" t="str">
        <f>INDEX('GPT 5o'!T:T,MATCH('All by All'!A5,'GPT 5o'!B:B,0))</f>
        <v>Probable</v>
      </c>
      <c r="D5" t="str">
        <f>INDEX('Copilot 4o'!A:A,MATCH('All by All'!A5,'Copilot 4o'!B:B,0))</f>
        <v>Probable (Treatment Only)</v>
      </c>
      <c r="E5" t="str">
        <f>INDEX('Copilot 5o'!A:A,MATCH('All by All'!A5,'Copilot 5o'!B:B,0))</f>
        <v>Case (Symptom+Treatment)</v>
      </c>
      <c r="F5" t="str">
        <f>INDEX(Gemini!A:A,MATCH('All by All'!A5,Gemini!B:B,0))</f>
        <v>Case (Symptom+Treatment)</v>
      </c>
    </row>
    <row r="6" spans="1:6" x14ac:dyDescent="0.2">
      <c r="A6" s="8">
        <v>261610479</v>
      </c>
      <c r="B6" t="str">
        <f>INDEX(Clinician!S:S,MATCH('All by All'!A6,Clinician!A:A,0))</f>
        <v>PROBABLE (treatment only)</v>
      </c>
      <c r="C6" t="str">
        <f>INDEX('GPT 5o'!T:T,MATCH('All by All'!A6,'GPT 5o'!B:B,0))</f>
        <v>Probable</v>
      </c>
      <c r="D6" t="str">
        <f>INDEX('Copilot 4o'!A:A,MATCH('All by All'!A6,'Copilot 4o'!B:B,0))</f>
        <v>Probable (Treatment Only)</v>
      </c>
      <c r="E6" t="str">
        <f>INDEX('Copilot 5o'!A:A,MATCH('All by All'!A6,'Copilot 5o'!B:B,0))</f>
        <v>Probable (Treatment Only)</v>
      </c>
      <c r="F6" t="str">
        <f>INDEX(Gemini!A:A,MATCH('All by All'!A6,Gemini!B:B,0))</f>
        <v>Case (Symptom+Treatment)</v>
      </c>
    </row>
    <row r="7" spans="1:6" x14ac:dyDescent="0.2">
      <c r="A7" s="8">
        <v>378410775</v>
      </c>
      <c r="B7" t="str">
        <f>INDEX(Clinician!S:S,MATCH('All by All'!A7,Clinician!A:A,0))</f>
        <v>CASE (complications + treatment)</v>
      </c>
      <c r="C7" t="str">
        <f>INDEX('GPT 5o'!T:T,MATCH('All by All'!A7,'GPT 5o'!B:B,0))</f>
        <v>No Case</v>
      </c>
      <c r="D7" t="str">
        <f>INDEX('Copilot 4o'!A:A,MATCH('All by All'!A7,'Copilot 4o'!B:B,0))</f>
        <v>No</v>
      </c>
      <c r="E7" t="str">
        <f>INDEX('Copilot 5o'!A:A,MATCH('All by All'!A7,'Copilot 5o'!B:B,0))</f>
        <v>Probable (Treatment Only)</v>
      </c>
      <c r="F7" t="str">
        <f>INDEX(Gemini!A:A,MATCH('All by All'!A7,Gemini!B:B,0))</f>
        <v>Probable (Treatment Only)</v>
      </c>
    </row>
    <row r="8" spans="1:6" x14ac:dyDescent="0.2">
      <c r="A8" s="8">
        <v>1502010397</v>
      </c>
      <c r="B8" t="str">
        <f>INDEX(Clinician!S:S,MATCH('All by All'!A8,Clinician!A:A,0))</f>
        <v>PROBABLE (treatment only)</v>
      </c>
      <c r="C8" t="str">
        <f>INDEX('GPT 5o'!T:T,MATCH('All by All'!A8,'GPT 5o'!B:B,0))</f>
        <v>Probable</v>
      </c>
      <c r="D8" t="str">
        <f>INDEX('Copilot 4o'!A:A,MATCH('All by All'!A8,'Copilot 4o'!B:B,0))</f>
        <v>Probable (Treatment Only)</v>
      </c>
      <c r="E8" t="str">
        <f>INDEX('Copilot 5o'!A:A,MATCH('All by All'!A8,'Copilot 5o'!B:B,0))</f>
        <v>Probable (Treatment Only)</v>
      </c>
      <c r="F8" t="str">
        <f>INDEX(Gemini!A:A,MATCH('All by All'!A8,Gemini!B:B,0))</f>
        <v>Probable (Treatment Only)</v>
      </c>
    </row>
    <row r="9" spans="1:6" x14ac:dyDescent="0.2">
      <c r="A9" s="8">
        <v>2353710622</v>
      </c>
      <c r="B9" t="str">
        <f>INDEX(Clinician!S:S,MATCH('All by All'!A9,Clinician!A:A,0))</f>
        <v>PROBABLE (treatment only)</v>
      </c>
      <c r="C9" t="str">
        <f>INDEX('GPT 5o'!T:T,MATCH('All by All'!A9,'GPT 5o'!B:B,0))</f>
        <v>Probable</v>
      </c>
      <c r="D9" t="str">
        <f>INDEX('Copilot 4o'!A:A,MATCH('All by All'!A9,'Copilot 4o'!B:B,0))</f>
        <v>Probable (Treatment Only)</v>
      </c>
      <c r="E9" t="str">
        <f>INDEX('Copilot 5o'!A:A,MATCH('All by All'!A9,'Copilot 5o'!B:B,0))</f>
        <v>Probable (Treatment Only)</v>
      </c>
      <c r="F9" t="str">
        <f>INDEX(Gemini!A:A,MATCH('All by All'!A9,Gemini!B:B,0))</f>
        <v>Case (Symptom+Treatment)</v>
      </c>
    </row>
    <row r="10" spans="1:6" x14ac:dyDescent="0.2">
      <c r="A10" s="8">
        <v>1045410614</v>
      </c>
      <c r="B10" t="str">
        <f>INDEX(Clinician!S:S,MATCH('All by All'!A10,Clinician!A:A,0))</f>
        <v>CASE (complications + treatment)</v>
      </c>
      <c r="C10" t="str">
        <f>INDEX('GPT 5o'!T:T,MATCH('All by All'!A10,'GPT 5o'!B:B,0))</f>
        <v>Probable</v>
      </c>
      <c r="D10" t="str">
        <f>INDEX('Copilot 4o'!A:A,MATCH('All by All'!A10,'Copilot 4o'!B:B,0))</f>
        <v>Probable (Treatment Only)</v>
      </c>
      <c r="E10" t="str">
        <f>INDEX('Copilot 5o'!A:A,MATCH('All by All'!A10,'Copilot 5o'!B:B,0))</f>
        <v>Probable (Treatment Only)</v>
      </c>
      <c r="F10" t="str">
        <f>INDEX(Gemini!A:A,MATCH('All by All'!A10,Gemini!B:B,0))</f>
        <v>Probable (Treatment Only)</v>
      </c>
    </row>
    <row r="11" spans="1:6" x14ac:dyDescent="0.2">
      <c r="A11" s="8">
        <v>4803410866</v>
      </c>
      <c r="B11" t="str">
        <f>INDEX(Clinician!S:S,MATCH('All by All'!A11,Clinician!A:A,0))</f>
        <v>PROBABLE (treatment only)</v>
      </c>
      <c r="C11" t="str">
        <f>INDEX('GPT 5o'!T:T,MATCH('All by All'!A11,'GPT 5o'!B:B,0))</f>
        <v>No Case</v>
      </c>
      <c r="D11" t="str">
        <f>INDEX('Copilot 4o'!A:A,MATCH('All by All'!A11,'Copilot 4o'!B:B,0))</f>
        <v>No</v>
      </c>
      <c r="E11" t="str">
        <f>INDEX('Copilot 5o'!A:A,MATCH('All by All'!A11,'Copilot 5o'!B:B,0))</f>
        <v>Probable (Treatment Only)</v>
      </c>
      <c r="F11" t="str">
        <f>INDEX(Gemini!A:A,MATCH('All by All'!A11,Gemini!B:B,0))</f>
        <v>Probable (Treatment Only)</v>
      </c>
    </row>
    <row r="12" spans="1:6" x14ac:dyDescent="0.2">
      <c r="A12" s="8">
        <v>384210994</v>
      </c>
      <c r="B12" t="str">
        <f>INDEX(Clinician!S:S,MATCH('All by All'!A12,Clinician!A:A,0))</f>
        <v>PROBABLE (treatment only)</v>
      </c>
      <c r="C12" t="str">
        <f>INDEX('GPT 5o'!T:T,MATCH('All by All'!A12,'GPT 5o'!B:B,0))</f>
        <v>Probable</v>
      </c>
      <c r="D12" t="str">
        <f>INDEX('Copilot 4o'!A:A,MATCH('All by All'!A12,'Copilot 4o'!B:B,0))</f>
        <v>Probable (Treatment Only)</v>
      </c>
      <c r="E12" t="str">
        <f>INDEX('Copilot 5o'!A:A,MATCH('All by All'!A12,'Copilot 5o'!B:B,0))</f>
        <v>Probable (Treatment Only)</v>
      </c>
      <c r="F12" t="str">
        <f>INDEX(Gemini!A:A,MATCH('All by All'!A12,Gemini!B:B,0))</f>
        <v>Probable (Treatment Only)</v>
      </c>
    </row>
    <row r="13" spans="1:6" x14ac:dyDescent="0.2">
      <c r="A13" s="8">
        <v>77110497</v>
      </c>
      <c r="B13" t="str">
        <f>INDEX(Clinician!S:S,MATCH('All by All'!A13,Clinician!A:A,0))</f>
        <v>CASE (complications + treatment)</v>
      </c>
      <c r="C13" t="str">
        <f>INDEX('GPT 5o'!T:T,MATCH('All by All'!A13,'GPT 5o'!B:B,0))</f>
        <v>Probable</v>
      </c>
      <c r="D13" t="str">
        <f>INDEX('Copilot 4o'!A:A,MATCH('All by All'!A13,'Copilot 4o'!B:B,0))</f>
        <v>No</v>
      </c>
      <c r="E13" t="str">
        <f>INDEX('Copilot 5o'!A:A,MATCH('All by All'!A13,'Copilot 5o'!B:B,0))</f>
        <v>Probable (Treatment Only)</v>
      </c>
      <c r="F13" t="str">
        <f>INDEX(Gemini!A:A,MATCH('All by All'!A13,Gemini!B:B,0))</f>
        <v>Probable (Treatment Only)</v>
      </c>
    </row>
    <row r="14" spans="1:6" x14ac:dyDescent="0.2">
      <c r="A14" s="8">
        <v>35210409</v>
      </c>
      <c r="B14" t="str">
        <f>INDEX(Clinician!S:S,MATCH('All by All'!A14,Clinician!A:A,0))</f>
        <v>PROBABLE (treatment only)</v>
      </c>
      <c r="C14" t="str">
        <f>INDEX('GPT 5o'!T:T,MATCH('All by All'!A14,'GPT 5o'!B:B,0))</f>
        <v>Probable</v>
      </c>
      <c r="D14" t="str">
        <f>INDEX('Copilot 4o'!A:A,MATCH('All by All'!A14,'Copilot 4o'!B:B,0))</f>
        <v>Probable (Treatment Only)</v>
      </c>
      <c r="E14" t="str">
        <f>INDEX('Copilot 5o'!A:A,MATCH('All by All'!A14,'Copilot 5o'!B:B,0))</f>
        <v>Probable (Treatment Only)</v>
      </c>
      <c r="F14" t="str">
        <f>INDEX(Gemini!A:A,MATCH('All by All'!A14,Gemini!B:B,0))</f>
        <v>Probable (Treatment Only)</v>
      </c>
    </row>
    <row r="15" spans="1:6" x14ac:dyDescent="0.2">
      <c r="A15" s="8">
        <v>153910595</v>
      </c>
      <c r="B15" t="str">
        <f>INDEX(Clinician!S:S,MATCH('All by All'!A15,Clinician!A:A,0))</f>
        <v>NON-CASE (T2DM records)</v>
      </c>
      <c r="C15" t="str">
        <f>INDEX('GPT 5o'!T:T,MATCH('All by All'!A15,'GPT 5o'!B:B,0))</f>
        <v>Probable</v>
      </c>
      <c r="D15" t="str">
        <f>INDEX('Copilot 4o'!A:A,MATCH('All by All'!A15,'Copilot 4o'!B:B,0))</f>
        <v>Probable (Treatment Only)</v>
      </c>
      <c r="E15" t="str">
        <f>INDEX('Copilot 5o'!A:A,MATCH('All by All'!A15,'Copilot 5o'!B:B,0))</f>
        <v>No</v>
      </c>
      <c r="F15" t="str">
        <f>INDEX(Gemini!A:A,MATCH('All by All'!A15,Gemini!B:B,0))</f>
        <v>Case (Symptom+Treatment)</v>
      </c>
    </row>
    <row r="16" spans="1:6" x14ac:dyDescent="0.2">
      <c r="A16" s="8">
        <v>274210173</v>
      </c>
      <c r="B16" t="str">
        <f>INDEX(Clinician!S:S,MATCH('All by All'!A16,Clinician!A:A,0))</f>
        <v>PROBABLE (treatment only)</v>
      </c>
      <c r="C16" t="str">
        <f>INDEX('GPT 5o'!T:T,MATCH('All by All'!A16,'GPT 5o'!B:B,0))</f>
        <v>Probable</v>
      </c>
      <c r="D16" t="str">
        <f>INDEX('Copilot 4o'!A:A,MATCH('All by All'!A16,'Copilot 4o'!B:B,0))</f>
        <v>Probable (Treatment Only)</v>
      </c>
      <c r="E16" t="str">
        <f>INDEX('Copilot 5o'!A:A,MATCH('All by All'!A16,'Copilot 5o'!B:B,0))</f>
        <v>Probable (Treatment Only)</v>
      </c>
      <c r="F16" t="str">
        <f>INDEX(Gemini!A:A,MATCH('All by All'!A16,Gemini!B:B,0))</f>
        <v>Probable (Treatment Only)</v>
      </c>
    </row>
    <row r="17" spans="1:6" x14ac:dyDescent="0.2">
      <c r="A17" s="8">
        <v>436610288</v>
      </c>
      <c r="B17" t="str">
        <f>INDEX(Clinician!S:S,MATCH('All by All'!A17,Clinician!A:A,0))</f>
        <v>NON-CASE (T2DM records)</v>
      </c>
      <c r="C17" t="str">
        <f>INDEX('GPT 5o'!T:T,MATCH('All by All'!A17,'GPT 5o'!B:B,0))</f>
        <v>Probable</v>
      </c>
      <c r="D17" t="str">
        <f>INDEX('Copilot 4o'!A:A,MATCH('All by All'!A17,'Copilot 4o'!B:B,0))</f>
        <v>Probable (Treatment Only)</v>
      </c>
      <c r="E17" t="str">
        <f>INDEX('Copilot 5o'!A:A,MATCH('All by All'!A17,'Copilot 5o'!B:B,0))</f>
        <v>No</v>
      </c>
      <c r="F17" t="str">
        <f>INDEX(Gemini!A:A,MATCH('All by All'!A17,Gemini!B:B,0))</f>
        <v>Probable (Treatment Only)</v>
      </c>
    </row>
    <row r="18" spans="1:6" x14ac:dyDescent="0.2">
      <c r="A18" s="8">
        <v>503810366</v>
      </c>
      <c r="B18" t="str">
        <f>INDEX(Clinician!S:S,MATCH('All by All'!A18,Clinician!A:A,0))</f>
        <v>PROBABLE (treatment only)</v>
      </c>
      <c r="C18" t="str">
        <f>INDEX('GPT 5o'!T:T,MATCH('All by All'!A18,'GPT 5o'!B:B,0))</f>
        <v>No Case</v>
      </c>
      <c r="D18" t="str">
        <f>INDEX('Copilot 4o'!A:A,MATCH('All by All'!A18,'Copilot 4o'!B:B,0))</f>
        <v>No</v>
      </c>
      <c r="E18" t="str">
        <f>INDEX('Copilot 5o'!A:A,MATCH('All by All'!A18,'Copilot 5o'!B:B,0))</f>
        <v>Probable (Treatment Only)</v>
      </c>
      <c r="F18" t="str">
        <f>INDEX(Gemini!A:A,MATCH('All by All'!A18,Gemini!B:B,0))</f>
        <v>Probable (Treatment Only)</v>
      </c>
    </row>
    <row r="19" spans="1:6" x14ac:dyDescent="0.2">
      <c r="A19" s="8">
        <v>559910689</v>
      </c>
      <c r="B19" t="str">
        <f>INDEX(Clinician!S:S,MATCH('All by All'!A19,Clinician!A:A,0))</f>
        <v>CASE (complications + treatment)</v>
      </c>
      <c r="C19" t="str">
        <f>INDEX('GPT 5o'!T:T,MATCH('All by All'!A19,'GPT 5o'!B:B,0))</f>
        <v>Probable</v>
      </c>
      <c r="D19" t="str">
        <f>INDEX('Copilot 4o'!A:A,MATCH('All by All'!A19,'Copilot 4o'!B:B,0))</f>
        <v>Probable (Treatment Only)</v>
      </c>
      <c r="E19" t="str">
        <f>INDEX('Copilot 5o'!A:A,MATCH('All by All'!A19,'Copilot 5o'!B:B,0))</f>
        <v>Probable (Treatment Only)</v>
      </c>
      <c r="F19" t="str">
        <f>INDEX(Gemini!A:A,MATCH('All by All'!A19,Gemini!B:B,0))</f>
        <v>Probable (Treatment Only)</v>
      </c>
    </row>
    <row r="20" spans="1:6" x14ac:dyDescent="0.2">
      <c r="A20" s="8">
        <v>644210241</v>
      </c>
      <c r="B20" t="str">
        <f>INDEX(Clinician!S:S,MATCH('All by All'!A20,Clinician!A:A,0))</f>
        <v>NON-CASE (T2DM records)</v>
      </c>
      <c r="C20" t="str">
        <f>INDEX('GPT 5o'!T:T,MATCH('All by All'!A20,'GPT 5o'!B:B,0))</f>
        <v>Probable</v>
      </c>
      <c r="D20" t="str">
        <f>INDEX('Copilot 4o'!A:A,MATCH('All by All'!A20,'Copilot 4o'!B:B,0))</f>
        <v>Probable (Treatment Only)</v>
      </c>
      <c r="E20" t="str">
        <f>INDEX('Copilot 5o'!A:A,MATCH('All by All'!A20,'Copilot 5o'!B:B,0))</f>
        <v>No</v>
      </c>
      <c r="F20" t="str">
        <f>INDEX(Gemini!A:A,MATCH('All by All'!A20,Gemini!B:B,0))</f>
        <v>Probable (Treatment Only)</v>
      </c>
    </row>
    <row r="21" spans="1:6" x14ac:dyDescent="0.2">
      <c r="A21" s="8">
        <v>812210207</v>
      </c>
      <c r="B21" t="str">
        <f>INDEX(Clinician!S:S,MATCH('All by All'!A21,Clinician!A:A,0))</f>
        <v>PROBABLE (treatment only)</v>
      </c>
      <c r="C21" t="str">
        <f>INDEX('GPT 5o'!T:T,MATCH('All by All'!A21,'GPT 5o'!B:B,0))</f>
        <v>Probable</v>
      </c>
      <c r="D21" t="str">
        <f>INDEX('Copilot 4o'!A:A,MATCH('All by All'!A21,'Copilot 4o'!B:B,0))</f>
        <v>Probable (Treatment Only)</v>
      </c>
      <c r="E21" t="str">
        <f>INDEX('Copilot 5o'!A:A,MATCH('All by All'!A21,'Copilot 5o'!B:B,0))</f>
        <v>Case (Symptom+Treatment)</v>
      </c>
      <c r="F21" t="str">
        <f>INDEX(Gemini!A:A,MATCH('All by All'!A21,Gemini!B:B,0))</f>
        <v>Case (Symptom+Treatment)</v>
      </c>
    </row>
    <row r="22" spans="1:6" x14ac:dyDescent="0.2">
      <c r="A22" s="8">
        <v>925810409</v>
      </c>
      <c r="B22" t="str">
        <f>INDEX(Clinician!S:S,MATCH('All by All'!A22,Clinician!A:A,0))</f>
        <v>CASE (complications + treatment)</v>
      </c>
      <c r="C22" t="str">
        <f>INDEX('GPT 5o'!T:T,MATCH('All by All'!A22,'GPT 5o'!B:B,0))</f>
        <v>Probable</v>
      </c>
      <c r="D22" t="str">
        <f>INDEX('Copilot 4o'!A:A,MATCH('All by All'!A22,'Copilot 4o'!B:B,0))</f>
        <v>Probable (Treatment Only)</v>
      </c>
      <c r="E22" t="str">
        <f>INDEX('Copilot 5o'!A:A,MATCH('All by All'!A22,'Copilot 5o'!B:B,0))</f>
        <v>Probable (Treatment Only)</v>
      </c>
      <c r="F22" t="str">
        <f>INDEX(Gemini!A:A,MATCH('All by All'!A22,Gemini!B:B,0))</f>
        <v>Case (Symptom+Treatment)</v>
      </c>
    </row>
    <row r="23" spans="1:6" x14ac:dyDescent="0.2">
      <c r="A23" s="8">
        <v>1054010302</v>
      </c>
      <c r="B23" t="str">
        <f>INDEX(Clinician!S:S,MATCH('All by All'!A23,Clinician!A:A,0))</f>
        <v>CASE (complications + treatment)</v>
      </c>
      <c r="C23" t="str">
        <f>INDEX('GPT 5o'!T:T,MATCH('All by All'!A23,'GPT 5o'!B:B,0))</f>
        <v>Probable</v>
      </c>
      <c r="D23" t="str">
        <f>INDEX('Copilot 4o'!A:A,MATCH('All by All'!A23,'Copilot 4o'!B:B,0))</f>
        <v>Probable (Treatment Only)</v>
      </c>
      <c r="E23" t="str">
        <f>INDEX('Copilot 5o'!A:A,MATCH('All by All'!A23,'Copilot 5o'!B:B,0))</f>
        <v>Case (Symptom+Treatment)</v>
      </c>
      <c r="F23" t="str">
        <f>INDEX(Gemini!A:A,MATCH('All by All'!A23,Gemini!B:B,0))</f>
        <v>Case (Symptom+Treatment)</v>
      </c>
    </row>
    <row r="24" spans="1:6" x14ac:dyDescent="0.2">
      <c r="A24" s="8">
        <v>1525510677</v>
      </c>
      <c r="B24" t="str">
        <f>INDEX(Clinician!S:S,MATCH('All by All'!A24,Clinician!A:A,0))</f>
        <v>CASE (complications + treatment)</v>
      </c>
      <c r="C24" t="str">
        <f>INDEX('GPT 5o'!T:T,MATCH('All by All'!A24,'GPT 5o'!B:B,0))</f>
        <v>Probable</v>
      </c>
      <c r="D24" t="str">
        <f>INDEX('Copilot 4o'!A:A,MATCH('All by All'!A24,'Copilot 4o'!B:B,0))</f>
        <v>Probable (Treatment Only)</v>
      </c>
      <c r="E24" t="str">
        <f>INDEX('Copilot 5o'!A:A,MATCH('All by All'!A24,'Copilot 5o'!B:B,0))</f>
        <v>Probable (Treatment Only)</v>
      </c>
      <c r="F24" t="str">
        <f>INDEX(Gemini!A:A,MATCH('All by All'!A24,Gemini!B:B,0))</f>
        <v>Case (Symptom+Treatment)</v>
      </c>
    </row>
    <row r="25" spans="1:6" x14ac:dyDescent="0.2">
      <c r="A25" s="8">
        <v>1721910803</v>
      </c>
      <c r="B25" t="str">
        <f>INDEX(Clinician!S:S,MATCH('All by All'!A25,Clinician!A:A,0))</f>
        <v>PROBABLE (treatment only)</v>
      </c>
      <c r="C25" t="str">
        <f>INDEX('GPT 5o'!T:T,MATCH('All by All'!A25,'GPT 5o'!B:B,0))</f>
        <v>Probable</v>
      </c>
      <c r="D25" t="str">
        <f>INDEX('Copilot 4o'!A:A,MATCH('All by All'!A25,'Copilot 4o'!B:B,0))</f>
        <v>Probable (Treatment Only)</v>
      </c>
      <c r="E25" t="str">
        <f>INDEX('Copilot 5o'!A:A,MATCH('All by All'!A25,'Copilot 5o'!B:B,0))</f>
        <v>Probable (Treatment Only)</v>
      </c>
      <c r="F25" t="str">
        <f>INDEX(Gemini!A:A,MATCH('All by All'!A25,Gemini!B:B,0))</f>
        <v>Probable (Treatment Only)</v>
      </c>
    </row>
    <row r="26" spans="1:6" x14ac:dyDescent="0.2">
      <c r="A26" s="8">
        <v>1985010365</v>
      </c>
      <c r="B26" t="str">
        <f>INDEX(Clinician!S:S,MATCH('All by All'!A26,Clinician!A:A,0))</f>
        <v>PROBABLE (treatment only)</v>
      </c>
      <c r="C26" t="str">
        <f>INDEX('GPT 5o'!T:T,MATCH('All by All'!A26,'GPT 5o'!B:B,0))</f>
        <v>Probable</v>
      </c>
      <c r="D26" t="str">
        <f>INDEX('Copilot 4o'!A:A,MATCH('All by All'!A26,'Copilot 4o'!B:B,0))</f>
        <v>Probable (Treatment Only)</v>
      </c>
      <c r="E26" t="str">
        <f>INDEX('Copilot 5o'!A:A,MATCH('All by All'!A26,'Copilot 5o'!B:B,0))</f>
        <v>Case (Symptom+Treatment)</v>
      </c>
      <c r="F26" t="str">
        <f>INDEX(Gemini!A:A,MATCH('All by All'!A26,Gemini!B:B,0))</f>
        <v>Case (Symptom+Treatment)</v>
      </c>
    </row>
    <row r="27" spans="1:6" x14ac:dyDescent="0.2">
      <c r="A27" s="8">
        <v>2020510974</v>
      </c>
      <c r="B27" t="str">
        <f>INDEX(Clinician!S:S,MATCH('All by All'!A27,Clinician!A:A,0))</f>
        <v>NON-CASE (T2DM records)</v>
      </c>
      <c r="C27" t="str">
        <f>INDEX('GPT 5o'!T:T,MATCH('All by All'!A27,'GPT 5o'!B:B,0))</f>
        <v>Probable</v>
      </c>
      <c r="D27" t="str">
        <f>INDEX('Copilot 4o'!A:A,MATCH('All by All'!A27,'Copilot 4o'!B:B,0))</f>
        <v>Probable (Treatment Only)</v>
      </c>
      <c r="E27" t="str">
        <f>INDEX('Copilot 5o'!A:A,MATCH('All by All'!A27,'Copilot 5o'!B:B,0))</f>
        <v>No</v>
      </c>
      <c r="F27" t="str">
        <f>INDEX(Gemini!A:A,MATCH('All by All'!A27,Gemini!B:B,0))</f>
        <v>Probable (Treatment Only)</v>
      </c>
    </row>
    <row r="28" spans="1:6" x14ac:dyDescent="0.2">
      <c r="A28" s="8">
        <v>2520610627</v>
      </c>
      <c r="B28" t="str">
        <f>INDEX(Clinician!S:S,MATCH('All by All'!A28,Clinician!A:A,0))</f>
        <v>CASE (complications + treatment)</v>
      </c>
      <c r="C28" t="str">
        <f>INDEX('GPT 5o'!T:T,MATCH('All by All'!A28,'GPT 5o'!B:B,0))</f>
        <v>Probable</v>
      </c>
      <c r="D28" t="str">
        <f>INDEX('Copilot 4o'!A:A,MATCH('All by All'!A28,'Copilot 4o'!B:B,0))</f>
        <v>Probable (Treatment Only)</v>
      </c>
      <c r="E28" t="str">
        <f>INDEX('Copilot 5o'!A:A,MATCH('All by All'!A28,'Copilot 5o'!B:B,0))</f>
        <v>Probable (Treatment Only)</v>
      </c>
      <c r="F28" t="str">
        <f>INDEX(Gemini!A:A,MATCH('All by All'!A28,Gemini!B:B,0))</f>
        <v>Probable (Treatment Only)</v>
      </c>
    </row>
    <row r="29" spans="1:6" x14ac:dyDescent="0.2">
      <c r="A29" s="8">
        <v>3954810544</v>
      </c>
      <c r="B29" t="str">
        <f>INDEX(Clinician!S:S,MATCH('All by All'!A29,Clinician!A:A,0))</f>
        <v>NON-CASE (T2DM records)</v>
      </c>
      <c r="C29" t="str">
        <f>INDEX('GPT 5o'!T:T,MATCH('All by All'!A29,'GPT 5o'!B:B,0))</f>
        <v>Probable</v>
      </c>
      <c r="D29" t="str">
        <f>INDEX('Copilot 4o'!A:A,MATCH('All by All'!A29,'Copilot 4o'!B:B,0))</f>
        <v>Probable (Treatment Only)</v>
      </c>
      <c r="E29" t="str">
        <f>INDEX('Copilot 5o'!A:A,MATCH('All by All'!A29,'Copilot 5o'!B:B,0))</f>
        <v>No</v>
      </c>
      <c r="F29" t="str">
        <f>INDEX(Gemini!A:A,MATCH('All by All'!A29,Gemini!B:B,0))</f>
        <v>Case (Symptom+Treatment)</v>
      </c>
    </row>
    <row r="30" spans="1:6" x14ac:dyDescent="0.2">
      <c r="A30" s="8">
        <v>726710461</v>
      </c>
      <c r="B30" t="str">
        <f>INDEX(Clinician!S:S,MATCH('All by All'!A30,Clinician!A:A,0))</f>
        <v>CASE (complications + treatment)</v>
      </c>
      <c r="C30" t="str">
        <f>INDEX('GPT 5o'!T:T,MATCH('All by All'!A30,'GPT 5o'!B:B,0))</f>
        <v>No Case</v>
      </c>
      <c r="D30" t="str">
        <f>INDEX('Copilot 4o'!A:A,MATCH('All by All'!A30,'Copilot 4o'!B:B,0))</f>
        <v>No</v>
      </c>
      <c r="E30" t="str">
        <f>INDEX('Copilot 5o'!A:A,MATCH('All by All'!A30,'Copilot 5o'!B:B,0))</f>
        <v>Probable (Treatment Only)</v>
      </c>
      <c r="F30" t="str">
        <f>INDEX(Gemini!A:A,MATCH('All by All'!A30,Gemini!B:B,0))</f>
        <v>Probable (Treatment Only)</v>
      </c>
    </row>
    <row r="31" spans="1:6" x14ac:dyDescent="0.2">
      <c r="A31" s="8">
        <v>833410289</v>
      </c>
      <c r="B31" t="str">
        <f>INDEX(Clinician!S:S,MATCH('All by All'!A31,Clinician!A:A,0))</f>
        <v>CASE (complications + treatment)</v>
      </c>
      <c r="C31" t="str">
        <f>INDEX('GPT 5o'!T:T,MATCH('All by All'!A31,'GPT 5o'!B:B,0))</f>
        <v>No Case</v>
      </c>
      <c r="D31" t="str">
        <f>INDEX('Copilot 4o'!A:A,MATCH('All by All'!A31,'Copilot 4o'!B:B,0))</f>
        <v>No</v>
      </c>
      <c r="E31" t="str">
        <f>INDEX('Copilot 5o'!A:A,MATCH('All by All'!A31,'Copilot 5o'!B:B,0))</f>
        <v>Case (Symptom+Treatment)</v>
      </c>
      <c r="F31" t="str">
        <f>INDEX(Gemini!A:A,MATCH('All by All'!A31,Gemini!B:B,0))</f>
        <v>No</v>
      </c>
    </row>
    <row r="32" spans="1:6" x14ac:dyDescent="0.2">
      <c r="A32" s="8">
        <v>971510284</v>
      </c>
      <c r="B32" t="str">
        <f>INDEX(Clinician!S:S,MATCH('All by All'!A32,Clinician!A:A,0))</f>
        <v>CASE (complications + treatment)</v>
      </c>
      <c r="C32" t="str">
        <f>INDEX('GPT 5o'!T:T,MATCH('All by All'!A32,'GPT 5o'!B:B,0))</f>
        <v>No Case</v>
      </c>
      <c r="D32" t="str">
        <f>INDEX('Copilot 4o'!A:A,MATCH('All by All'!A32,'Copilot 4o'!B:B,0))</f>
        <v>No</v>
      </c>
      <c r="E32" t="str">
        <f>INDEX('Copilot 5o'!A:A,MATCH('All by All'!A32,'Copilot 5o'!B:B,0))</f>
        <v>Probable (Treatment Only)</v>
      </c>
      <c r="F32" t="str">
        <f>INDEX(Gemini!A:A,MATCH('All by All'!A32,Gemini!B:B,0))</f>
        <v>Probable (Treatment Only)</v>
      </c>
    </row>
    <row r="33" spans="1:6" x14ac:dyDescent="0.2">
      <c r="A33" s="8">
        <v>1094310233</v>
      </c>
      <c r="B33" t="str">
        <f>INDEX(Clinician!S:S,MATCH('All by All'!A33,Clinician!A:A,0))</f>
        <v>PROBABLE (treatment only)</v>
      </c>
      <c r="C33" t="str">
        <f>INDEX('GPT 5o'!T:T,MATCH('All by All'!A33,'GPT 5o'!B:B,0))</f>
        <v>No Case</v>
      </c>
      <c r="D33" t="str">
        <f>INDEX('Copilot 4o'!A:A,MATCH('All by All'!A33,'Copilot 4o'!B:B,0))</f>
        <v>No</v>
      </c>
      <c r="E33" t="str">
        <f>INDEX('Copilot 5o'!A:A,MATCH('All by All'!A33,'Copilot 5o'!B:B,0))</f>
        <v>Probable (Treatment Only)</v>
      </c>
      <c r="F33" t="str">
        <f>INDEX(Gemini!A:A,MATCH('All by All'!A33,Gemini!B:B,0))</f>
        <v>Probable (Treatment Only)</v>
      </c>
    </row>
    <row r="34" spans="1:6" x14ac:dyDescent="0.2">
      <c r="A34" s="8">
        <v>38410333</v>
      </c>
      <c r="B34" t="str">
        <f>INDEX(Clinician!S:S,MATCH('All by All'!A34,Clinician!A:A,0))</f>
        <v>CASE (complications + treatment)</v>
      </c>
      <c r="C34" t="str">
        <f>INDEX('GPT 5o'!T:T,MATCH('All by All'!A34,'GPT 5o'!B:B,0))</f>
        <v>No Case</v>
      </c>
      <c r="D34" t="str">
        <f>INDEX('Copilot 4o'!A:A,MATCH('All by All'!A34,'Copilot 4o'!B:B,0))</f>
        <v>No</v>
      </c>
      <c r="E34" t="str">
        <f>INDEX('Copilot 5o'!A:A,MATCH('All by All'!A34,'Copilot 5o'!B:B,0))</f>
        <v>Probable (Treatment Only)</v>
      </c>
      <c r="F34" t="str">
        <f>INDEX(Gemini!A:A,MATCH('All by All'!A34,Gemini!B:B,0))</f>
        <v>Probable (Treatment Only)</v>
      </c>
    </row>
    <row r="35" spans="1:6" x14ac:dyDescent="0.2">
      <c r="A35" s="8">
        <v>3525210465</v>
      </c>
      <c r="B35" t="str">
        <f>INDEX(Clinician!S:S,MATCH('All by All'!A35,Clinician!A:A,0))</f>
        <v>PROBABLE (treatment only)</v>
      </c>
      <c r="C35" t="str">
        <f>INDEX('GPT 5o'!T:T,MATCH('All by All'!A35,'GPT 5o'!B:B,0))</f>
        <v>Probable</v>
      </c>
      <c r="D35" t="str">
        <f>INDEX('Copilot 4o'!A:A,MATCH('All by All'!A35,'Copilot 4o'!B:B,0))</f>
        <v>Probable (Treatment Only)</v>
      </c>
      <c r="E35" t="str">
        <f>INDEX('Copilot 5o'!A:A,MATCH('All by All'!A35,'Copilot 5o'!B:B,0))</f>
        <v>Probable (Treatment Only)</v>
      </c>
      <c r="F35" t="str">
        <f>INDEX(Gemini!A:A,MATCH('All by All'!A35,Gemini!B:B,0))</f>
        <v>Probable (Treatment Only)</v>
      </c>
    </row>
    <row r="36" spans="1:6" x14ac:dyDescent="0.2">
      <c r="A36" s="8">
        <v>2010394</v>
      </c>
      <c r="B36" t="str">
        <f>INDEX(Clinician!S:S,MATCH('All by All'!A36,Clinician!A:A,0))</f>
        <v>CASE (complications + treatment)</v>
      </c>
      <c r="C36" t="str">
        <f>INDEX('GPT 5o'!T:T,MATCH('All by All'!A36,'GPT 5o'!B:B,0))</f>
        <v>Probable</v>
      </c>
      <c r="D36" t="str">
        <f>INDEX('Copilot 4o'!A:A,MATCH('All by All'!A36,'Copilot 4o'!B:B,0))</f>
        <v>Probable (Treatment Only)</v>
      </c>
      <c r="E36" t="str">
        <f>INDEX('Copilot 5o'!A:A,MATCH('All by All'!A36,'Copilot 5o'!B:B,0))</f>
        <v>Probable (Treatment Only)</v>
      </c>
      <c r="F36" t="str">
        <f>INDEX(Gemini!A:A,MATCH('All by All'!A36,Gemini!B:B,0))</f>
        <v>Probable (Treatment Only)</v>
      </c>
    </row>
    <row r="37" spans="1:6" x14ac:dyDescent="0.2">
      <c r="A37" s="8">
        <v>62910668</v>
      </c>
      <c r="B37" t="str">
        <f>INDEX(Clinician!S:S,MATCH('All by All'!A37,Clinician!A:A,0))</f>
        <v>PROBABLE (treatment only)</v>
      </c>
      <c r="C37" t="str">
        <f>INDEX('GPT 5o'!T:T,MATCH('All by All'!A37,'GPT 5o'!B:B,0))</f>
        <v>Probable</v>
      </c>
      <c r="D37" t="str">
        <f>INDEX('Copilot 4o'!A:A,MATCH('All by All'!A37,'Copilot 4o'!B:B,0))</f>
        <v>Probable (Treatment Only)</v>
      </c>
      <c r="E37" t="str">
        <f>INDEX('Copilot 5o'!A:A,MATCH('All by All'!A37,'Copilot 5o'!B:B,0))</f>
        <v>Probable (Treatment Only)</v>
      </c>
      <c r="F37" t="str">
        <f>INDEX(Gemini!A:A,MATCH('All by All'!A37,Gemini!B:B,0))</f>
        <v>Case (Symptom+Treatment)</v>
      </c>
    </row>
    <row r="38" spans="1:6" x14ac:dyDescent="0.2">
      <c r="A38" s="8">
        <v>75310568</v>
      </c>
      <c r="B38" t="str">
        <f>INDEX(Clinician!S:S,MATCH('All by All'!A38,Clinician!A:A,0))</f>
        <v>NON-CASE (T2DM treatment, metformin)</v>
      </c>
      <c r="C38" t="str">
        <f>INDEX('GPT 5o'!T:T,MATCH('All by All'!A38,'GPT 5o'!B:B,0))</f>
        <v>Probable</v>
      </c>
      <c r="D38" t="str">
        <f>INDEX('Copilot 4o'!A:A,MATCH('All by All'!A38,'Copilot 4o'!B:B,0))</f>
        <v>Probable (Treatment Only)</v>
      </c>
      <c r="E38" t="str">
        <f>INDEX('Copilot 5o'!A:A,MATCH('All by All'!A38,'Copilot 5o'!B:B,0))</f>
        <v>Probable (Treatment Only)</v>
      </c>
      <c r="F38" t="str">
        <f>INDEX(Gemini!A:A,MATCH('All by All'!A38,Gemini!B:B,0))</f>
        <v>Probable (Treatment Only)</v>
      </c>
    </row>
    <row r="39" spans="1:6" x14ac:dyDescent="0.2">
      <c r="A39" s="8">
        <v>120310166</v>
      </c>
      <c r="B39" t="str">
        <f>INDEX(Clinician!S:S,MATCH('All by All'!A39,Clinician!A:A,0))</f>
        <v>CASE (complications + treatment)</v>
      </c>
      <c r="C39" t="str">
        <f>INDEX('GPT 5o'!T:T,MATCH('All by All'!A39,'GPT 5o'!B:B,0))</f>
        <v>No Case</v>
      </c>
      <c r="D39" t="str">
        <f>INDEX('Copilot 4o'!A:A,MATCH('All by All'!A39,'Copilot 4o'!B:B,0))</f>
        <v>No</v>
      </c>
      <c r="E39" t="str">
        <f>INDEX('Copilot 5o'!A:A,MATCH('All by All'!A39,'Copilot 5o'!B:B,0))</f>
        <v>Probable (Treatment Only)</v>
      </c>
      <c r="F39" t="str">
        <f>INDEX(Gemini!A:A,MATCH('All by All'!A39,Gemini!B:B,0))</f>
        <v>Probable (Treatment Only)</v>
      </c>
    </row>
    <row r="40" spans="1:6" x14ac:dyDescent="0.2">
      <c r="A40" s="8">
        <v>319810053</v>
      </c>
      <c r="B40" t="str">
        <f>INDEX(Clinician!S:S,MATCH('All by All'!A40,Clinician!A:A,0))</f>
        <v>CASE (complications + treatment)</v>
      </c>
      <c r="C40" t="str">
        <f>INDEX('GPT 5o'!T:T,MATCH('All by All'!A40,'GPT 5o'!B:B,0))</f>
        <v>Probable</v>
      </c>
      <c r="D40" t="str">
        <f>INDEX('Copilot 4o'!A:A,MATCH('All by All'!A40,'Copilot 4o'!B:B,0))</f>
        <v>Probable (Treatment Only)</v>
      </c>
      <c r="E40" t="str">
        <f>INDEX('Copilot 5o'!A:A,MATCH('All by All'!A40,'Copilot 5o'!B:B,0))</f>
        <v>Case (Symptom+Treatment)</v>
      </c>
      <c r="F40" t="str">
        <f>INDEX(Gemini!A:A,MATCH('All by All'!A40,Gemini!B:B,0))</f>
        <v>Case (Symptom+Treatment)</v>
      </c>
    </row>
    <row r="41" spans="1:6" x14ac:dyDescent="0.2">
      <c r="A41" s="8">
        <v>341210634</v>
      </c>
      <c r="B41" t="str">
        <f>INDEX(Clinician!S:S,MATCH('All by All'!A41,Clinician!A:A,0))</f>
        <v>CASE (complications + treatment)</v>
      </c>
      <c r="C41" t="str">
        <f>INDEX('GPT 5o'!T:T,MATCH('All by All'!A41,'GPT 5o'!B:B,0))</f>
        <v>Probable</v>
      </c>
      <c r="D41" t="str">
        <f>INDEX('Copilot 4o'!A:A,MATCH('All by All'!A41,'Copilot 4o'!B:B,0))</f>
        <v>Probable (Treatment Only)</v>
      </c>
      <c r="E41" t="str">
        <f>INDEX('Copilot 5o'!A:A,MATCH('All by All'!A41,'Copilot 5o'!B:B,0))</f>
        <v>Probable (Treatment Only)</v>
      </c>
      <c r="F41" t="str">
        <f>INDEX(Gemini!A:A,MATCH('All by All'!A41,Gemini!B:B,0))</f>
        <v>Probable (Treatment Only)</v>
      </c>
    </row>
    <row r="42" spans="1:6" x14ac:dyDescent="0.2">
      <c r="A42" s="8">
        <v>362110891</v>
      </c>
      <c r="B42" t="str">
        <f>INDEX(Clinician!S:S,MATCH('All by All'!A42,Clinician!A:A,0))</f>
        <v>NON-CASE (T2DM records)</v>
      </c>
      <c r="C42" t="str">
        <f>INDEX('GPT 5o'!T:T,MATCH('All by All'!A42,'GPT 5o'!B:B,0))</f>
        <v>Probable</v>
      </c>
      <c r="D42" t="str">
        <f>INDEX('Copilot 4o'!A:A,MATCH('All by All'!A42,'Copilot 4o'!B:B,0))</f>
        <v>Probable (Treatment Only)</v>
      </c>
      <c r="E42" t="str">
        <f>INDEX('Copilot 5o'!A:A,MATCH('All by All'!A42,'Copilot 5o'!B:B,0))</f>
        <v>No</v>
      </c>
      <c r="F42" t="str">
        <f>INDEX(Gemini!A:A,MATCH('All by All'!A42,Gemini!B:B,0))</f>
        <v>Probable (Treatment Only)</v>
      </c>
    </row>
    <row r="43" spans="1:6" x14ac:dyDescent="0.2">
      <c r="A43" s="8">
        <v>370010311</v>
      </c>
      <c r="B43" t="str">
        <f>INDEX(Clinician!S:S,MATCH('All by All'!A43,Clinician!A:A,0))</f>
        <v>PROBABLE (treatment only)</v>
      </c>
      <c r="C43" t="str">
        <f>INDEX('GPT 5o'!T:T,MATCH('All by All'!A43,'GPT 5o'!B:B,0))</f>
        <v>Probable</v>
      </c>
      <c r="D43" t="str">
        <f>INDEX('Copilot 4o'!A:A,MATCH('All by All'!A43,'Copilot 4o'!B:B,0))</f>
        <v>No</v>
      </c>
      <c r="E43" t="str">
        <f>INDEX('Copilot 5o'!A:A,MATCH('All by All'!A43,'Copilot 5o'!B:B,0))</f>
        <v>Probable (Treatment Only)</v>
      </c>
      <c r="F43" t="str">
        <f>INDEX(Gemini!A:A,MATCH('All by All'!A43,Gemini!B:B,0))</f>
        <v>Probable (Treatment Only)</v>
      </c>
    </row>
    <row r="44" spans="1:6" x14ac:dyDescent="0.2">
      <c r="A44" s="8">
        <v>461910966</v>
      </c>
      <c r="B44" t="str">
        <f>INDEX(Clinician!S:S,MATCH('All by All'!A44,Clinician!A:A,0))</f>
        <v>PROBABLE (treatment only)</v>
      </c>
      <c r="C44" t="str">
        <f>INDEX('GPT 5o'!T:T,MATCH('All by All'!A44,'GPT 5o'!B:B,0))</f>
        <v>Probable</v>
      </c>
      <c r="D44" t="str">
        <f>INDEX('Copilot 4o'!A:A,MATCH('All by All'!A44,'Copilot 4o'!B:B,0))</f>
        <v>Probable (Treatment Only)</v>
      </c>
      <c r="E44" t="str">
        <f>INDEX('Copilot 5o'!A:A,MATCH('All by All'!A44,'Copilot 5o'!B:B,0))</f>
        <v>Probable (Treatment Only)</v>
      </c>
      <c r="F44" t="str">
        <f>INDEX(Gemini!A:A,MATCH('All by All'!A44,Gemini!B:B,0))</f>
        <v>Probable (Treatment Only)</v>
      </c>
    </row>
    <row r="45" spans="1:6" x14ac:dyDescent="0.2">
      <c r="A45" s="8">
        <v>515410701</v>
      </c>
      <c r="B45" t="str">
        <f>INDEX(Clinician!S:S,MATCH('All by All'!A45,Clinician!A:A,0))</f>
        <v>NON-CASE (T2DM records)</v>
      </c>
      <c r="C45" t="str">
        <f>INDEX('GPT 5o'!T:T,MATCH('All by All'!A45,'GPT 5o'!B:B,0))</f>
        <v>No Case</v>
      </c>
      <c r="D45" t="str">
        <f>INDEX('Copilot 4o'!A:A,MATCH('All by All'!A45,'Copilot 4o'!B:B,0))</f>
        <v>No</v>
      </c>
      <c r="E45" t="str">
        <f>INDEX('Copilot 5o'!A:A,MATCH('All by All'!A45,'Copilot 5o'!B:B,0))</f>
        <v>Probable (Treatment Only)</v>
      </c>
      <c r="F45" t="str">
        <f>INDEX(Gemini!A:A,MATCH('All by All'!A45,Gemini!B:B,0))</f>
        <v>No</v>
      </c>
    </row>
    <row r="46" spans="1:6" x14ac:dyDescent="0.2">
      <c r="A46" s="8">
        <v>603810956</v>
      </c>
      <c r="B46" t="str">
        <f>INDEX(Clinician!S:S,MATCH('All by All'!A46,Clinician!A:A,0))</f>
        <v>PROBABLE (treatment only)</v>
      </c>
      <c r="C46" t="str">
        <f>INDEX('GPT 5o'!T:T,MATCH('All by All'!A46,'GPT 5o'!B:B,0))</f>
        <v>Probable</v>
      </c>
      <c r="D46" t="str">
        <f>INDEX('Copilot 4o'!A:A,MATCH('All by All'!A46,'Copilot 4o'!B:B,0))</f>
        <v>No</v>
      </c>
      <c r="E46" t="str">
        <f>INDEX('Copilot 5o'!A:A,MATCH('All by All'!A46,'Copilot 5o'!B:B,0))</f>
        <v>Probable (Treatment Only)</v>
      </c>
      <c r="F46" t="str">
        <f>INDEX(Gemini!A:A,MATCH('All by All'!A46,Gemini!B:B,0))</f>
        <v>Probable (Treatment Only)</v>
      </c>
    </row>
    <row r="47" spans="1:6" x14ac:dyDescent="0.2">
      <c r="A47" s="8">
        <v>689210365</v>
      </c>
      <c r="B47" t="str">
        <f>INDEX(Clinician!S:S,MATCH('All by All'!A47,Clinician!A:A,0))</f>
        <v>NON-CASE (T2DM records)</v>
      </c>
      <c r="C47" t="str">
        <f>INDEX('GPT 5o'!T:T,MATCH('All by All'!A47,'GPT 5o'!B:B,0))</f>
        <v>Probable</v>
      </c>
      <c r="D47" t="str">
        <f>INDEX('Copilot 4o'!A:A,MATCH('All by All'!A47,'Copilot 4o'!B:B,0))</f>
        <v>Probable (Treatment Only)</v>
      </c>
      <c r="E47" t="str">
        <f>INDEX('Copilot 5o'!A:A,MATCH('All by All'!A47,'Copilot 5o'!B:B,0))</f>
        <v>No</v>
      </c>
      <c r="F47" t="str">
        <f>INDEX(Gemini!A:A,MATCH('All by All'!A47,Gemini!B:B,0))</f>
        <v>Case (Symptom+Treatment)</v>
      </c>
    </row>
    <row r="48" spans="1:6" x14ac:dyDescent="0.2">
      <c r="A48" s="8">
        <v>726310128</v>
      </c>
      <c r="B48" t="str">
        <f>INDEX(Clinician!S:S,MATCH('All by All'!A48,Clinician!A:A,0))</f>
        <v>PROBABLE (treatment only)</v>
      </c>
      <c r="C48" t="str">
        <f>INDEX('GPT 5o'!T:T,MATCH('All by All'!A48,'GPT 5o'!B:B,0))</f>
        <v>Probable</v>
      </c>
      <c r="D48" t="str">
        <f>INDEX('Copilot 4o'!A:A,MATCH('All by All'!A48,'Copilot 4o'!B:B,0))</f>
        <v>Probable (Treatment Only)</v>
      </c>
      <c r="E48" t="str">
        <f>INDEX('Copilot 5o'!A:A,MATCH('All by All'!A48,'Copilot 5o'!B:B,0))</f>
        <v>Case (Symptom+Treatment)</v>
      </c>
      <c r="F48" t="str">
        <f>INDEX(Gemini!A:A,MATCH('All by All'!A48,Gemini!B:B,0))</f>
        <v>Case (Symptom+Treatment)</v>
      </c>
    </row>
    <row r="49" spans="1:6" x14ac:dyDescent="0.2">
      <c r="A49" s="8">
        <v>740710960</v>
      </c>
      <c r="B49" t="str">
        <f>INDEX(Clinician!S:S,MATCH('All by All'!A49,Clinician!A:A,0))</f>
        <v>CASE (complications + treatment)</v>
      </c>
      <c r="C49" t="str">
        <f>INDEX('GPT 5o'!T:T,MATCH('All by All'!A49,'GPT 5o'!B:B,0))</f>
        <v>Probable</v>
      </c>
      <c r="D49" t="str">
        <f>INDEX('Copilot 4o'!A:A,MATCH('All by All'!A49,'Copilot 4o'!B:B,0))</f>
        <v>Probable (Treatment Only)</v>
      </c>
      <c r="E49" t="str">
        <f>INDEX('Copilot 5o'!A:A,MATCH('All by All'!A49,'Copilot 5o'!B:B,0))</f>
        <v>Probable (Treatment Only)</v>
      </c>
      <c r="F49" t="str">
        <f>INDEX(Gemini!A:A,MATCH('All by All'!A49,Gemini!B:B,0))</f>
        <v>Case (Symptom+Treatment)</v>
      </c>
    </row>
    <row r="50" spans="1:6" x14ac:dyDescent="0.2">
      <c r="A50" s="8">
        <v>741610129</v>
      </c>
      <c r="B50" t="str">
        <f>INDEX(Clinician!S:S,MATCH('All by All'!A50,Clinician!A:A,0))</f>
        <v>CASE (complications + treatment)</v>
      </c>
      <c r="C50" t="str">
        <f>INDEX('GPT 5o'!T:T,MATCH('All by All'!A50,'GPT 5o'!B:B,0))</f>
        <v>Probable</v>
      </c>
      <c r="D50" t="str">
        <f>INDEX('Copilot 4o'!A:A,MATCH('All by All'!A50,'Copilot 4o'!B:B,0))</f>
        <v>Probable (Treatment Only)</v>
      </c>
      <c r="E50" t="str">
        <f>INDEX('Copilot 5o'!A:A,MATCH('All by All'!A50,'Copilot 5o'!B:B,0))</f>
        <v>Case (Symptom+Treatment)</v>
      </c>
      <c r="F50" t="str">
        <f>INDEX(Gemini!A:A,MATCH('All by All'!A50,Gemini!B:B,0))</f>
        <v>Case (Symptom+Treatment)</v>
      </c>
    </row>
    <row r="51" spans="1:6" x14ac:dyDescent="0.2">
      <c r="A51" s="8">
        <v>795410971</v>
      </c>
      <c r="B51" t="str">
        <f>INDEX(Clinician!S:S,MATCH('All by All'!A51,Clinician!A:A,0))</f>
        <v>PROBABLE (treatment only)</v>
      </c>
      <c r="C51" t="str">
        <f>INDEX('GPT 5o'!T:T,MATCH('All by All'!A51,'GPT 5o'!B:B,0))</f>
        <v>No Case</v>
      </c>
      <c r="D51" t="str">
        <f>INDEX('Copilot 4o'!A:A,MATCH('All by All'!A51,'Copilot 4o'!B:B,0))</f>
        <v>No</v>
      </c>
      <c r="E51" t="str">
        <f>INDEX('Copilot 5o'!A:A,MATCH('All by All'!A51,'Copilot 5o'!B:B,0))</f>
        <v>No</v>
      </c>
      <c r="F51" t="str">
        <f>INDEX(Gemini!A:A,MATCH('All by All'!A51,Gemini!B:B,0))</f>
        <v>No</v>
      </c>
    </row>
    <row r="52" spans="1:6" x14ac:dyDescent="0.2">
      <c r="A52" s="8">
        <v>818210372</v>
      </c>
      <c r="B52" t="str">
        <f>INDEX(Clinician!S:S,MATCH('All by All'!A52,Clinician!A:A,0))</f>
        <v>PROBABLE (treatment only)</v>
      </c>
      <c r="C52" t="str">
        <f>INDEX('GPT 5o'!T:T,MATCH('All by All'!A52,'GPT 5o'!B:B,0))</f>
        <v>Probable</v>
      </c>
      <c r="D52" t="str">
        <f>INDEX('Copilot 4o'!A:A,MATCH('All by All'!A52,'Copilot 4o'!B:B,0))</f>
        <v>Probable (Treatment Only)</v>
      </c>
      <c r="E52" t="str">
        <f>INDEX('Copilot 5o'!A:A,MATCH('All by All'!A52,'Copilot 5o'!B:B,0))</f>
        <v>Probable (Treatment Only)</v>
      </c>
      <c r="F52" t="str">
        <f>INDEX(Gemini!A:A,MATCH('All by All'!A52,Gemini!B:B,0))</f>
        <v>Probable (Treatment Only)</v>
      </c>
    </row>
    <row r="53" spans="1:6" x14ac:dyDescent="0.2">
      <c r="A53" s="8">
        <v>826210737</v>
      </c>
      <c r="B53" t="str">
        <f>INDEX(Clinician!S:S,MATCH('All by All'!A53,Clinician!A:A,0))</f>
        <v>PROBABLE (treatment only)</v>
      </c>
      <c r="C53" t="str">
        <f>INDEX('GPT 5o'!T:T,MATCH('All by All'!A53,'GPT 5o'!B:B,0))</f>
        <v>Probable</v>
      </c>
      <c r="D53" t="str">
        <f>INDEX('Copilot 4o'!A:A,MATCH('All by All'!A53,'Copilot 4o'!B:B,0))</f>
        <v>Probable (Treatment Only)</v>
      </c>
      <c r="E53" t="str">
        <f>INDEX('Copilot 5o'!A:A,MATCH('All by All'!A53,'Copilot 5o'!B:B,0))</f>
        <v>Probable (Treatment Only)</v>
      </c>
      <c r="F53" t="str">
        <f>INDEX(Gemini!A:A,MATCH('All by All'!A53,Gemini!B:B,0))</f>
        <v>Probable (Treatment Only)</v>
      </c>
    </row>
    <row r="54" spans="1:6" x14ac:dyDescent="0.2">
      <c r="A54" s="8">
        <v>870510178</v>
      </c>
      <c r="B54" t="str">
        <f>INDEX(Clinician!S:S,MATCH('All by All'!A54,Clinician!A:A,0))</f>
        <v>CASE (complications + treatment)</v>
      </c>
      <c r="C54" t="str">
        <f>INDEX('GPT 5o'!T:T,MATCH('All by All'!A54,'GPT 5o'!B:B,0))</f>
        <v>No Case</v>
      </c>
      <c r="D54" t="str">
        <f>INDEX('Copilot 4o'!A:A,MATCH('All by All'!A54,'Copilot 4o'!B:B,0))</f>
        <v>No</v>
      </c>
      <c r="E54" t="str">
        <f>INDEX('Copilot 5o'!A:A,MATCH('All by All'!A54,'Copilot 5o'!B:B,0))</f>
        <v>Probable (Treatment Only)</v>
      </c>
      <c r="F54" t="str">
        <f>INDEX(Gemini!A:A,MATCH('All by All'!A54,Gemini!B:B,0))</f>
        <v>Probable (Treatment Only)</v>
      </c>
    </row>
    <row r="55" spans="1:6" x14ac:dyDescent="0.2">
      <c r="A55" s="8">
        <v>888710791</v>
      </c>
      <c r="B55" t="str">
        <f>INDEX(Clinician!S:S,MATCH('All by All'!A55,Clinician!A:A,0))</f>
        <v>PROBABLE (treatment only)</v>
      </c>
      <c r="C55" t="str">
        <f>INDEX('GPT 5o'!T:T,MATCH('All by All'!A55,'GPT 5o'!B:B,0))</f>
        <v>Probable</v>
      </c>
      <c r="D55" t="str">
        <f>INDEX('Copilot 4o'!A:A,MATCH('All by All'!A55,'Copilot 4o'!B:B,0))</f>
        <v>Probable (Treatment Only)</v>
      </c>
      <c r="E55" t="str">
        <f>INDEX('Copilot 5o'!A:A,MATCH('All by All'!A55,'Copilot 5o'!B:B,0))</f>
        <v>Probable (Treatment Only)</v>
      </c>
      <c r="F55" t="str">
        <f>INDEX(Gemini!A:A,MATCH('All by All'!A55,Gemini!B:B,0))</f>
        <v>Case (Symptom+Treatment)</v>
      </c>
    </row>
    <row r="56" spans="1:6" x14ac:dyDescent="0.2">
      <c r="A56" s="8">
        <v>932610840</v>
      </c>
      <c r="B56" t="str">
        <f>INDEX(Clinician!S:S,MATCH('All by All'!A56,Clinician!A:A,0))</f>
        <v>NON-CASE (diagnosis of steroid-induced diabetes)</v>
      </c>
      <c r="C56" t="str">
        <f>INDEX('GPT 5o'!T:T,MATCH('All by All'!A56,'GPT 5o'!B:B,0))</f>
        <v>No Case</v>
      </c>
      <c r="D56" t="str">
        <f>INDEX('Copilot 4o'!A:A,MATCH('All by All'!A56,'Copilot 4o'!B:B,0))</f>
        <v>No</v>
      </c>
      <c r="E56" t="str">
        <f>INDEX('Copilot 5o'!A:A,MATCH('All by All'!A56,'Copilot 5o'!B:B,0))</f>
        <v>No</v>
      </c>
      <c r="F56" t="str">
        <f>INDEX(Gemini!A:A,MATCH('All by All'!A56,Gemini!B:B,0))</f>
        <v>No</v>
      </c>
    </row>
    <row r="57" spans="1:6" x14ac:dyDescent="0.2">
      <c r="A57" s="8">
        <v>954410764</v>
      </c>
      <c r="B57" t="str">
        <f>INDEX(Clinician!S:S,MATCH('All by All'!A57,Clinician!A:A,0))</f>
        <v>PROBABLE (treatment only)</v>
      </c>
      <c r="C57" t="str">
        <f>INDEX('GPT 5o'!T:T,MATCH('All by All'!A57,'GPT 5o'!B:B,0))</f>
        <v>Probable</v>
      </c>
      <c r="D57" t="str">
        <f>INDEX('Copilot 4o'!A:A,MATCH('All by All'!A57,'Copilot 4o'!B:B,0))</f>
        <v>Probable (Treatment Only)</v>
      </c>
      <c r="E57" t="str">
        <f>INDEX('Copilot 5o'!A:A,MATCH('All by All'!A57,'Copilot 5o'!B:B,0))</f>
        <v>Case (Symptom+Treatment)</v>
      </c>
      <c r="F57" t="str">
        <f>INDEX(Gemini!A:A,MATCH('All by All'!A57,Gemini!B:B,0))</f>
        <v>Case (Symptom+Treatment)</v>
      </c>
    </row>
    <row r="58" spans="1:6" x14ac:dyDescent="0.2">
      <c r="A58" s="8">
        <v>959010761</v>
      </c>
      <c r="B58" t="str">
        <f>INDEX(Clinician!S:S,MATCH('All by All'!A58,Clinician!A:A,0))</f>
        <v>CASE (complications + treatment)</v>
      </c>
      <c r="C58" t="str">
        <f>INDEX('GPT 5o'!T:T,MATCH('All by All'!A58,'GPT 5o'!B:B,0))</f>
        <v>Probable</v>
      </c>
      <c r="D58" t="str">
        <f>INDEX('Copilot 4o'!A:A,MATCH('All by All'!A58,'Copilot 4o'!B:B,0))</f>
        <v>Probable (Treatment Only)</v>
      </c>
      <c r="E58" t="str">
        <f>INDEX('Copilot 5o'!A:A,MATCH('All by All'!A58,'Copilot 5o'!B:B,0))</f>
        <v>Case (Symptom+Treatment)</v>
      </c>
      <c r="F58" t="str">
        <f>INDEX(Gemini!A:A,MATCH('All by All'!A58,Gemini!B:B,0))</f>
        <v>Probable (Treatment Only)</v>
      </c>
    </row>
    <row r="59" spans="1:6" x14ac:dyDescent="0.2">
      <c r="A59" s="8">
        <v>1084310679</v>
      </c>
      <c r="B59" t="str">
        <f>INDEX(Clinician!S:S,MATCH('All by All'!A59,Clinician!A:A,0))</f>
        <v>CASE (complications + treatment)</v>
      </c>
      <c r="C59" t="str">
        <f>INDEX('GPT 5o'!T:T,MATCH('All by All'!A59,'GPT 5o'!B:B,0))</f>
        <v>No Case</v>
      </c>
      <c r="D59" t="str">
        <f>INDEX('Copilot 4o'!A:A,MATCH('All by All'!A59,'Copilot 4o'!B:B,0))</f>
        <v>No</v>
      </c>
      <c r="E59" t="str">
        <f>INDEX('Copilot 5o'!A:A,MATCH('All by All'!A59,'Copilot 5o'!B:B,0))</f>
        <v>Probable (Treatment Only)</v>
      </c>
      <c r="F59" t="str">
        <f>INDEX(Gemini!A:A,MATCH('All by All'!A59,Gemini!B:B,0))</f>
        <v>Probable (Treatment Only)</v>
      </c>
    </row>
    <row r="60" spans="1:6" x14ac:dyDescent="0.2">
      <c r="A60" s="8">
        <v>1084510775</v>
      </c>
      <c r="B60" t="str">
        <f>INDEX(Clinician!S:S,MATCH('All by All'!A60,Clinician!A:A,0))</f>
        <v>CASE (complications + treatment)</v>
      </c>
      <c r="C60" t="str">
        <f>INDEX('GPT 5o'!T:T,MATCH('All by All'!A60,'GPT 5o'!B:B,0))</f>
        <v>Probable</v>
      </c>
      <c r="D60" t="str">
        <f>INDEX('Copilot 4o'!A:A,MATCH('All by All'!A60,'Copilot 4o'!B:B,0))</f>
        <v>Probable (Treatment Only)</v>
      </c>
      <c r="E60" t="str">
        <f>INDEX('Copilot 5o'!A:A,MATCH('All by All'!A60,'Copilot 5o'!B:B,0))</f>
        <v>Probable (Treatment Only)</v>
      </c>
      <c r="F60" t="str">
        <f>INDEX(Gemini!A:A,MATCH('All by All'!A60,Gemini!B:B,0))</f>
        <v>Probable (Treatment Only)</v>
      </c>
    </row>
    <row r="61" spans="1:6" x14ac:dyDescent="0.2">
      <c r="A61" s="8">
        <v>1086910999</v>
      </c>
      <c r="B61" t="str">
        <f>INDEX(Clinician!S:S,MATCH('All by All'!A61,Clinician!A:A,0))</f>
        <v>PROBABLE (treatment only)</v>
      </c>
      <c r="C61" t="str">
        <f>INDEX('GPT 5o'!T:T,MATCH('All by All'!A61,'GPT 5o'!B:B,0))</f>
        <v>Probable</v>
      </c>
      <c r="D61" t="str">
        <f>INDEX('Copilot 4o'!A:A,MATCH('All by All'!A61,'Copilot 4o'!B:B,0))</f>
        <v>Probable (Treatment Only)</v>
      </c>
      <c r="E61" t="str">
        <f>INDEX('Copilot 5o'!A:A,MATCH('All by All'!A61,'Copilot 5o'!B:B,0))</f>
        <v>Case (Symptom+Treatment)</v>
      </c>
      <c r="F61" t="str">
        <f>INDEX(Gemini!A:A,MATCH('All by All'!A61,Gemini!B:B,0))</f>
        <v>Case (Symptom+Treatment)</v>
      </c>
    </row>
    <row r="62" spans="1:6" x14ac:dyDescent="0.2">
      <c r="A62" s="8">
        <v>1377210629</v>
      </c>
      <c r="B62" t="str">
        <f>INDEX(Clinician!S:S,MATCH('All by All'!A62,Clinician!A:A,0))</f>
        <v>PROBABLE (treatment only)</v>
      </c>
      <c r="C62" t="str">
        <f>INDEX('GPT 5o'!T:T,MATCH('All by All'!A62,'GPT 5o'!B:B,0))</f>
        <v>Probable</v>
      </c>
      <c r="D62" t="str">
        <f>INDEX('Copilot 4o'!A:A,MATCH('All by All'!A62,'Copilot 4o'!B:B,0))</f>
        <v>Probable (Treatment Only)</v>
      </c>
      <c r="E62" t="str">
        <f>INDEX('Copilot 5o'!A:A,MATCH('All by All'!A62,'Copilot 5o'!B:B,0))</f>
        <v>Case (Symptom+Treatment)</v>
      </c>
      <c r="F62" t="str">
        <f>INDEX(Gemini!A:A,MATCH('All by All'!A62,Gemini!B:B,0))</f>
        <v>Case (Symptom+Treatment)</v>
      </c>
    </row>
    <row r="63" spans="1:6" x14ac:dyDescent="0.2">
      <c r="A63" s="8">
        <v>1559910397</v>
      </c>
      <c r="B63" t="str">
        <f>INDEX(Clinician!S:S,MATCH('All by All'!A63,Clinician!A:A,0))</f>
        <v>PROBABLE (treatment only)</v>
      </c>
      <c r="C63" t="str">
        <f>INDEX('GPT 5o'!T:T,MATCH('All by All'!A63,'GPT 5o'!B:B,0))</f>
        <v>Probable</v>
      </c>
      <c r="D63" t="str">
        <f>INDEX('Copilot 4o'!A:A,MATCH('All by All'!A63,'Copilot 4o'!B:B,0))</f>
        <v>Probable (Treatment Only)</v>
      </c>
      <c r="E63" t="str">
        <f>INDEX('Copilot 5o'!A:A,MATCH('All by All'!A63,'Copilot 5o'!B:B,0))</f>
        <v>Case (Symptom+Treatment)</v>
      </c>
      <c r="F63" t="str">
        <f>INDEX(Gemini!A:A,MATCH('All by All'!A63,Gemini!B:B,0))</f>
        <v>Case (Symptom+Treatment)</v>
      </c>
    </row>
    <row r="64" spans="1:6" x14ac:dyDescent="0.2">
      <c r="A64" s="8">
        <v>1602410226</v>
      </c>
      <c r="B64" t="str">
        <f>INDEX(Clinician!S:S,MATCH('All by All'!A64,Clinician!A:A,0))</f>
        <v>PROBABLE (treatment only)</v>
      </c>
      <c r="C64" t="str">
        <f>INDEX('GPT 5o'!T:T,MATCH('All by All'!A64,'GPT 5o'!B:B,0))</f>
        <v>Probable</v>
      </c>
      <c r="D64" t="str">
        <f>INDEX('Copilot 4o'!A:A,MATCH('All by All'!A64,'Copilot 4o'!B:B,0))</f>
        <v>Probable (Treatment Only)</v>
      </c>
      <c r="E64" t="str">
        <f>INDEX('Copilot 5o'!A:A,MATCH('All by All'!A64,'Copilot 5o'!B:B,0))</f>
        <v>Probable (Treatment Only)</v>
      </c>
      <c r="F64" t="str">
        <f>INDEX(Gemini!A:A,MATCH('All by All'!A64,Gemini!B:B,0))</f>
        <v>Case (Symptom+Treatment)</v>
      </c>
    </row>
    <row r="65" spans="1:6" x14ac:dyDescent="0.2">
      <c r="A65" s="8">
        <v>1620610573</v>
      </c>
      <c r="B65" t="str">
        <f>INDEX(Clinician!S:S,MATCH('All by All'!A65,Clinician!A:A,0))</f>
        <v>CASE (complications + treatment)</v>
      </c>
      <c r="C65" t="str">
        <f>INDEX('GPT 5o'!T:T,MATCH('All by All'!A65,'GPT 5o'!B:B,0))</f>
        <v>Probable</v>
      </c>
      <c r="D65" t="str">
        <f>INDEX('Copilot 4o'!A:A,MATCH('All by All'!A65,'Copilot 4o'!B:B,0))</f>
        <v>Probable (Treatment Only)</v>
      </c>
      <c r="E65" t="str">
        <f>INDEX('Copilot 5o'!A:A,MATCH('All by All'!A65,'Copilot 5o'!B:B,0))</f>
        <v>Probable (Treatment Only)</v>
      </c>
      <c r="F65" t="str">
        <f>INDEX(Gemini!A:A,MATCH('All by All'!A65,Gemini!B:B,0))</f>
        <v>Probable (Treatment Only)</v>
      </c>
    </row>
    <row r="66" spans="1:6" x14ac:dyDescent="0.2">
      <c r="A66" s="8">
        <v>1675410922</v>
      </c>
      <c r="B66" t="str">
        <f>INDEX(Clinician!S:S,MATCH('All by All'!A66,Clinician!A:A,0))</f>
        <v>PROBABLE (treatment only)</v>
      </c>
      <c r="C66" t="str">
        <f>INDEX('GPT 5o'!T:T,MATCH('All by All'!A66,'GPT 5o'!B:B,0))</f>
        <v>Probable</v>
      </c>
      <c r="D66" t="str">
        <f>INDEX('Copilot 4o'!A:A,MATCH('All by All'!A66,'Copilot 4o'!B:B,0))</f>
        <v>Probable (Treatment Only)</v>
      </c>
      <c r="E66" t="str">
        <f>INDEX('Copilot 5o'!A:A,MATCH('All by All'!A66,'Copilot 5o'!B:B,0))</f>
        <v>Case (Symptom+Treatment)</v>
      </c>
      <c r="F66" t="str">
        <f>INDEX(Gemini!A:A,MATCH('All by All'!A66,Gemini!B:B,0))</f>
        <v>Case (Symptom+Treatment)</v>
      </c>
    </row>
    <row r="67" spans="1:6" x14ac:dyDescent="0.2">
      <c r="A67" s="8">
        <v>1759410412</v>
      </c>
      <c r="B67" t="str">
        <f>INDEX(Clinician!S:S,MATCH('All by All'!A67,Clinician!A:A,0))</f>
        <v>CASE (complications + treatment)</v>
      </c>
      <c r="C67" t="str">
        <f>INDEX('GPT 5o'!T:T,MATCH('All by All'!A67,'GPT 5o'!B:B,0))</f>
        <v>No Case</v>
      </c>
      <c r="D67" t="str">
        <f>INDEX('Copilot 4o'!A:A,MATCH('All by All'!A67,'Copilot 4o'!B:B,0))</f>
        <v>No</v>
      </c>
      <c r="E67" t="str">
        <f>INDEX('Copilot 5o'!A:A,MATCH('All by All'!A67,'Copilot 5o'!B:B,0))</f>
        <v>Case (Symptom+Treatment)</v>
      </c>
      <c r="F67" t="str">
        <f>INDEX(Gemini!A:A,MATCH('All by All'!A67,Gemini!B:B,0))</f>
        <v>Probable (Treatment Only)</v>
      </c>
    </row>
    <row r="68" spans="1:6" x14ac:dyDescent="0.2">
      <c r="A68" s="8">
        <v>1833510766</v>
      </c>
      <c r="B68" t="str">
        <f>INDEX(Clinician!S:S,MATCH('All by All'!A68,Clinician!A:A,0))</f>
        <v>CASE (complications + treatment)</v>
      </c>
      <c r="C68" t="str">
        <f>INDEX('GPT 5o'!T:T,MATCH('All by All'!A68,'GPT 5o'!B:B,0))</f>
        <v>Probable</v>
      </c>
      <c r="D68" t="str">
        <f>INDEX('Copilot 4o'!A:A,MATCH('All by All'!A68,'Copilot 4o'!B:B,0))</f>
        <v>Probable (Treatment Only)</v>
      </c>
      <c r="E68" t="str">
        <f>INDEX('Copilot 5o'!A:A,MATCH('All by All'!A68,'Copilot 5o'!B:B,0))</f>
        <v>Case (Symptom+Treatment)</v>
      </c>
      <c r="F68" t="str">
        <f>INDEX(Gemini!A:A,MATCH('All by All'!A68,Gemini!B:B,0))</f>
        <v>Probable (Treatment Only)</v>
      </c>
    </row>
    <row r="69" spans="1:6" x14ac:dyDescent="0.2">
      <c r="A69" s="8">
        <v>2079410115</v>
      </c>
      <c r="B69" t="str">
        <f>INDEX(Clinician!S:S,MATCH('All by All'!A69,Clinician!A:A,0))</f>
        <v>PROBABLE (treatment only)</v>
      </c>
      <c r="C69" t="str">
        <f>INDEX('GPT 5o'!T:T,MATCH('All by All'!A69,'GPT 5o'!B:B,0))</f>
        <v>Probable</v>
      </c>
      <c r="D69" t="str">
        <f>INDEX('Copilot 4o'!A:A,MATCH('All by All'!A69,'Copilot 4o'!B:B,0))</f>
        <v>Probable (Treatment Only)</v>
      </c>
      <c r="E69" t="str">
        <f>INDEX('Copilot 5o'!A:A,MATCH('All by All'!A69,'Copilot 5o'!B:B,0))</f>
        <v>Probable (Treatment Only)</v>
      </c>
      <c r="F69" t="str">
        <f>INDEX(Gemini!A:A,MATCH('All by All'!A69,Gemini!B:B,0))</f>
        <v>Case (Symptom+Treatment)</v>
      </c>
    </row>
    <row r="70" spans="1:6" x14ac:dyDescent="0.2">
      <c r="A70" s="8">
        <v>2134710591</v>
      </c>
      <c r="B70" t="str">
        <f>INDEX(Clinician!S:S,MATCH('All by All'!A70,Clinician!A:A,0))</f>
        <v>PROBABLE (treatment only)</v>
      </c>
      <c r="C70" t="str">
        <f>INDEX('GPT 5o'!T:T,MATCH('All by All'!A70,'GPT 5o'!B:B,0))</f>
        <v>Probable</v>
      </c>
      <c r="D70" t="str">
        <f>INDEX('Copilot 4o'!A:A,MATCH('All by All'!A70,'Copilot 4o'!B:B,0))</f>
        <v>Probable (Treatment Only)</v>
      </c>
      <c r="E70" t="str">
        <f>INDEX('Copilot 5o'!A:A,MATCH('All by All'!A70,'Copilot 5o'!B:B,0))</f>
        <v>Probable (Treatment Only)</v>
      </c>
      <c r="F70" t="str">
        <f>INDEX(Gemini!A:A,MATCH('All by All'!A70,Gemini!B:B,0))</f>
        <v>Probable (Treatment Only)</v>
      </c>
    </row>
    <row r="71" spans="1:6" x14ac:dyDescent="0.2">
      <c r="A71" s="8">
        <v>2335110194</v>
      </c>
      <c r="B71" t="str">
        <f>INDEX(Clinician!S:S,MATCH('All by All'!A71,Clinician!A:A,0))</f>
        <v>NON-CASE (T2DM records)</v>
      </c>
      <c r="C71" t="str">
        <f>INDEX('GPT 5o'!T:T,MATCH('All by All'!A71,'GPT 5o'!B:B,0))</f>
        <v>Probable</v>
      </c>
      <c r="D71" t="str">
        <f>INDEX('Copilot 4o'!A:A,MATCH('All by All'!A71,'Copilot 4o'!B:B,0))</f>
        <v>Probable (Treatment Only)</v>
      </c>
      <c r="E71" t="str">
        <f>INDEX('Copilot 5o'!A:A,MATCH('All by All'!A71,'Copilot 5o'!B:B,0))</f>
        <v>No</v>
      </c>
      <c r="F71" t="str">
        <f>INDEX(Gemini!A:A,MATCH('All by All'!A71,Gemini!B:B,0))</f>
        <v>Case (Symptom+Treatment)</v>
      </c>
    </row>
    <row r="72" spans="1:6" x14ac:dyDescent="0.2">
      <c r="A72" s="8">
        <v>2482010040</v>
      </c>
      <c r="B72" t="str">
        <f>INDEX(Clinician!S:S,MATCH('All by All'!A72,Clinician!A:A,0))</f>
        <v>PROBABLE (treatment only)</v>
      </c>
      <c r="C72" t="str">
        <f>INDEX('GPT 5o'!T:T,MATCH('All by All'!A72,'GPT 5o'!B:B,0))</f>
        <v>No Case</v>
      </c>
      <c r="D72" t="str">
        <f>INDEX('Copilot 4o'!A:A,MATCH('All by All'!A72,'Copilot 4o'!B:B,0))</f>
        <v>No</v>
      </c>
      <c r="E72" t="str">
        <f>INDEX('Copilot 5o'!A:A,MATCH('All by All'!A72,'Copilot 5o'!B:B,0))</f>
        <v>Case (Symptom+Treatment)</v>
      </c>
      <c r="F72" t="str">
        <f>INDEX(Gemini!A:A,MATCH('All by All'!A72,Gemini!B:B,0))</f>
        <v>Case (Symptom+Treatment)</v>
      </c>
    </row>
    <row r="73" spans="1:6" x14ac:dyDescent="0.2">
      <c r="A73" s="8">
        <v>2489610789</v>
      </c>
      <c r="B73" t="str">
        <f>INDEX(Clinician!S:S,MATCH('All by All'!A73,Clinician!A:A,0))</f>
        <v>PROBABLE (treatment only)</v>
      </c>
      <c r="C73" t="str">
        <f>INDEX('GPT 5o'!T:T,MATCH('All by All'!A73,'GPT 5o'!B:B,0))</f>
        <v>Probable</v>
      </c>
      <c r="D73" t="str">
        <f>INDEX('Copilot 4o'!A:A,MATCH('All by All'!A73,'Copilot 4o'!B:B,0))</f>
        <v>Probable (Treatment Only)</v>
      </c>
      <c r="E73" t="str">
        <f>INDEX('Copilot 5o'!A:A,MATCH('All by All'!A73,'Copilot 5o'!B:B,0))</f>
        <v>Probable (Treatment Only)</v>
      </c>
      <c r="F73" t="str">
        <f>INDEX(Gemini!A:A,MATCH('All by All'!A73,Gemini!B:B,0))</f>
        <v>Probable (Treatment Only)</v>
      </c>
    </row>
    <row r="74" spans="1:6" x14ac:dyDescent="0.2">
      <c r="A74" s="8">
        <v>2615910492</v>
      </c>
      <c r="B74" t="str">
        <f>INDEX(Clinician!S:S,MATCH('All by All'!A74,Clinician!A:A,0))</f>
        <v>CASE (complications + treatment)</v>
      </c>
      <c r="C74" t="str">
        <f>INDEX('GPT 5o'!T:T,MATCH('All by All'!A74,'GPT 5o'!B:B,0))</f>
        <v>No Case</v>
      </c>
      <c r="D74" t="str">
        <f>INDEX('Copilot 4o'!A:A,MATCH('All by All'!A74,'Copilot 4o'!B:B,0))</f>
        <v>No</v>
      </c>
      <c r="E74" t="str">
        <f>INDEX('Copilot 5o'!A:A,MATCH('All by All'!A74,'Copilot 5o'!B:B,0))</f>
        <v>Probable (Treatment Only)</v>
      </c>
      <c r="F74" t="str">
        <f>INDEX(Gemini!A:A,MATCH('All by All'!A74,Gemini!B:B,0))</f>
        <v>Probable (Treatment Only)</v>
      </c>
    </row>
    <row r="75" spans="1:6" x14ac:dyDescent="0.2">
      <c r="A75" s="8">
        <v>2723810058</v>
      </c>
      <c r="B75" t="str">
        <f>INDEX(Clinician!S:S,MATCH('All by All'!A75,Clinician!A:A,0))</f>
        <v>NON-CASE (T2DM treatments)</v>
      </c>
      <c r="C75" t="str">
        <f>INDEX('GPT 5o'!T:T,MATCH('All by All'!A75,'GPT 5o'!B:B,0))</f>
        <v>Probable</v>
      </c>
      <c r="D75" t="str">
        <f>INDEX('Copilot 4o'!A:A,MATCH('All by All'!A75,'Copilot 4o'!B:B,0))</f>
        <v>Probable (Treatment Only)</v>
      </c>
      <c r="E75" t="str">
        <f>INDEX('Copilot 5o'!A:A,MATCH('All by All'!A75,'Copilot 5o'!B:B,0))</f>
        <v>No</v>
      </c>
      <c r="F75" t="str">
        <f>INDEX(Gemini!A:A,MATCH('All by All'!A75,Gemini!B:B,0))</f>
        <v>Probable (Treatment Only)</v>
      </c>
    </row>
    <row r="76" spans="1:6" x14ac:dyDescent="0.2">
      <c r="A76" s="8">
        <v>2850010979</v>
      </c>
      <c r="B76" t="str">
        <f>INDEX(Clinician!S:S,MATCH('All by All'!A76,Clinician!A:A,0))</f>
        <v>PROBABLE (treatment only)</v>
      </c>
      <c r="C76" t="str">
        <f>INDEX('GPT 5o'!T:T,MATCH('All by All'!A76,'GPT 5o'!B:B,0))</f>
        <v>Probable</v>
      </c>
      <c r="D76" t="str">
        <f>INDEX('Copilot 4o'!A:A,MATCH('All by All'!A76,'Copilot 4o'!B:B,0))</f>
        <v>Probable (Treatment Only)</v>
      </c>
      <c r="E76" t="str">
        <f>INDEX('Copilot 5o'!A:A,MATCH('All by All'!A76,'Copilot 5o'!B:B,0))</f>
        <v>Probable (Treatment Only)</v>
      </c>
      <c r="F76" t="str">
        <f>INDEX(Gemini!A:A,MATCH('All by All'!A76,Gemini!B:B,0))</f>
        <v>Case (Symptom+Treatment)</v>
      </c>
    </row>
    <row r="77" spans="1:6" x14ac:dyDescent="0.2">
      <c r="A77" s="8">
        <v>2946010373</v>
      </c>
      <c r="B77" t="str">
        <f>INDEX(Clinician!S:S,MATCH('All by All'!A77,Clinician!A:A,0))</f>
        <v>CASE (complications + treatment)</v>
      </c>
      <c r="C77" t="str">
        <f>INDEX('GPT 5o'!T:T,MATCH('All by All'!A77,'GPT 5o'!B:B,0))</f>
        <v>Probable</v>
      </c>
      <c r="D77" t="str">
        <f>INDEX('Copilot 4o'!A:A,MATCH('All by All'!A77,'Copilot 4o'!B:B,0))</f>
        <v>Probable (Treatment Only)</v>
      </c>
      <c r="E77" t="str">
        <f>INDEX('Copilot 5o'!A:A,MATCH('All by All'!A77,'Copilot 5o'!B:B,0))</f>
        <v>Probable (Treatment Only)</v>
      </c>
      <c r="F77" t="str">
        <f>INDEX(Gemini!A:A,MATCH('All by All'!A77,Gemini!B:B,0))</f>
        <v>Probable (Treatment Only)</v>
      </c>
    </row>
    <row r="78" spans="1:6" x14ac:dyDescent="0.2">
      <c r="A78" s="8">
        <v>3181110734</v>
      </c>
      <c r="B78" t="str">
        <f>INDEX(Clinician!S:S,MATCH('All by All'!A78,Clinician!A:A,0))</f>
        <v>PROBABLE (treatment only)</v>
      </c>
      <c r="C78" t="str">
        <f>INDEX('GPT 5o'!T:T,MATCH('All by All'!A78,'GPT 5o'!B:B,0))</f>
        <v>Probable</v>
      </c>
      <c r="D78" t="str">
        <f>INDEX('Copilot 4o'!A:A,MATCH('All by All'!A78,'Copilot 4o'!B:B,0))</f>
        <v>Probable (Treatment Only)</v>
      </c>
      <c r="E78" t="str">
        <f>INDEX('Copilot 5o'!A:A,MATCH('All by All'!A78,'Copilot 5o'!B:B,0))</f>
        <v>Probable (Treatment Only)</v>
      </c>
      <c r="F78" t="str">
        <f>INDEX(Gemini!A:A,MATCH('All by All'!A78,Gemini!B:B,0))</f>
        <v>Probable (Treatment Only)</v>
      </c>
    </row>
    <row r="79" spans="1:6" x14ac:dyDescent="0.2">
      <c r="A79" s="8">
        <v>3212210166</v>
      </c>
      <c r="B79" t="str">
        <f>INDEX(Clinician!S:S,MATCH('All by All'!A79,Clinician!A:A,0))</f>
        <v>CASE (complications + treatment)</v>
      </c>
      <c r="C79" t="str">
        <f>INDEX('GPT 5o'!T:T,MATCH('All by All'!A79,'GPT 5o'!B:B,0))</f>
        <v>Probable</v>
      </c>
      <c r="D79" t="str">
        <f>INDEX('Copilot 4o'!A:A,MATCH('All by All'!A79,'Copilot 4o'!B:B,0))</f>
        <v>Probable (Treatment Only)</v>
      </c>
      <c r="E79" t="str">
        <f>INDEX('Copilot 5o'!A:A,MATCH('All by All'!A79,'Copilot 5o'!B:B,0))</f>
        <v>Case (Symptom+Treatment)</v>
      </c>
      <c r="F79" t="str">
        <f>INDEX(Gemini!A:A,MATCH('All by All'!A79,Gemini!B:B,0))</f>
        <v>Probable (Treatment Only)</v>
      </c>
    </row>
    <row r="80" spans="1:6" x14ac:dyDescent="0.2">
      <c r="A80" s="8">
        <v>3266510164</v>
      </c>
      <c r="B80" t="str">
        <f>INDEX(Clinician!S:S,MATCH('All by All'!A80,Clinician!A:A,0))</f>
        <v>CASE (complications + treatment)</v>
      </c>
      <c r="C80" t="str">
        <f>INDEX('GPT 5o'!T:T,MATCH('All by All'!A80,'GPT 5o'!B:B,0))</f>
        <v>No Case</v>
      </c>
      <c r="D80" t="str">
        <f>INDEX('Copilot 4o'!A:A,MATCH('All by All'!A80,'Copilot 4o'!B:B,0))</f>
        <v>No</v>
      </c>
      <c r="E80" t="str">
        <f>INDEX('Copilot 5o'!A:A,MATCH('All by All'!A80,'Copilot 5o'!B:B,0))</f>
        <v>Probable (Treatment Only)</v>
      </c>
      <c r="F80" t="str">
        <f>INDEX(Gemini!A:A,MATCH('All by All'!A80,Gemini!B:B,0))</f>
        <v>Case (Symptom+Treatment)</v>
      </c>
    </row>
    <row r="81" spans="1:6" x14ac:dyDescent="0.2">
      <c r="A81" s="8">
        <v>3354710424</v>
      </c>
      <c r="B81" t="str">
        <f>INDEX(Clinician!S:S,MATCH('All by All'!A81,Clinician!A:A,0))</f>
        <v>PROBABLE (treatment only)</v>
      </c>
      <c r="C81" t="str">
        <f>INDEX('GPT 5o'!T:T,MATCH('All by All'!A81,'GPT 5o'!B:B,0))</f>
        <v>Probable</v>
      </c>
      <c r="D81" t="str">
        <f>INDEX('Copilot 4o'!A:A,MATCH('All by All'!A81,'Copilot 4o'!B:B,0))</f>
        <v>Probable (Treatment Only)</v>
      </c>
      <c r="E81" t="str">
        <f>INDEX('Copilot 5o'!A:A,MATCH('All by All'!A81,'Copilot 5o'!B:B,0))</f>
        <v>Probable (Treatment Only)</v>
      </c>
      <c r="F81" t="str">
        <f>INDEX(Gemini!A:A,MATCH('All by All'!A81,Gemini!B:B,0))</f>
        <v>Probable (Treatment Only)</v>
      </c>
    </row>
    <row r="82" spans="1:6" x14ac:dyDescent="0.2">
      <c r="A82" s="8">
        <v>9461110544</v>
      </c>
      <c r="B82" t="str">
        <f>INDEX(Clinician!S:S,MATCH('All by All'!A82,Clinician!A:A,0))</f>
        <v>PROBABLE (treatment only)</v>
      </c>
      <c r="C82" t="str">
        <f>INDEX('GPT 5o'!T:T,MATCH('All by All'!A82,'GPT 5o'!B:B,0))</f>
        <v>Probable</v>
      </c>
      <c r="D82" t="str">
        <f>INDEX('Copilot 4o'!A:A,MATCH('All by All'!A82,'Copilot 4o'!B:B,0))</f>
        <v>Probable (Treatment Only)</v>
      </c>
      <c r="E82" t="str">
        <f>INDEX('Copilot 5o'!A:A,MATCH('All by All'!A82,'Copilot 5o'!B:B,0))</f>
        <v>Probable (Treatment Only)</v>
      </c>
      <c r="F82" t="str">
        <f>INDEX(Gemini!A:A,MATCH('All by All'!A82,Gemini!B:B,0))</f>
        <v>Probable (Treatment Only)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F5C9-C096-F24A-B385-67B9D87962DE}">
  <dimension ref="A1:T82"/>
  <sheetViews>
    <sheetView workbookViewId="0">
      <pane ySplit="1" topLeftCell="A2" activePane="bottomLeft" state="frozen"/>
      <selection activeCell="F1" sqref="F1"/>
      <selection pane="bottomLeft" sqref="A1:A1048576"/>
    </sheetView>
  </sheetViews>
  <sheetFormatPr baseColWidth="10" defaultRowHeight="16" x14ac:dyDescent="0.2"/>
  <cols>
    <col min="1" max="1" width="10.83203125" style="8" customWidth="1"/>
    <col min="2" max="2" width="10.83203125" customWidth="1"/>
    <col min="4" max="4" width="20.33203125" customWidth="1"/>
    <col min="5" max="5" width="12.1640625" customWidth="1"/>
    <col min="6" max="6" width="12" customWidth="1"/>
    <col min="7" max="7" width="12.5" customWidth="1"/>
    <col min="9" max="9" width="33.33203125" customWidth="1"/>
    <col min="11" max="11" width="23.5" customWidth="1"/>
    <col min="12" max="12" width="20" customWidth="1"/>
    <col min="13" max="13" width="19.83203125" customWidth="1"/>
    <col min="14" max="14" width="19.33203125" customWidth="1"/>
    <col min="15" max="15" width="14" customWidth="1"/>
    <col min="16" max="16" width="25.1640625" customWidth="1"/>
    <col min="17" max="17" width="10.33203125" customWidth="1"/>
    <col min="19" max="19" width="31" customWidth="1"/>
    <col min="256" max="257" width="0" hidden="1" customWidth="1"/>
    <col min="260" max="260" width="20.33203125" customWidth="1"/>
    <col min="261" max="261" width="12.1640625" customWidth="1"/>
    <col min="262" max="262" width="12" customWidth="1"/>
    <col min="263" max="263" width="12.5" customWidth="1"/>
    <col min="265" max="265" width="33.33203125" customWidth="1"/>
    <col min="267" max="267" width="23.5" customWidth="1"/>
    <col min="268" max="268" width="20" customWidth="1"/>
    <col min="269" max="269" width="19.83203125" customWidth="1"/>
    <col min="270" max="270" width="19.33203125" customWidth="1"/>
    <col min="271" max="271" width="14" customWidth="1"/>
    <col min="272" max="272" width="25.1640625" customWidth="1"/>
    <col min="273" max="273" width="10.33203125" customWidth="1"/>
    <col min="275" max="275" width="31" customWidth="1"/>
    <col min="512" max="513" width="0" hidden="1" customWidth="1"/>
    <col min="516" max="516" width="20.33203125" customWidth="1"/>
    <col min="517" max="517" width="12.1640625" customWidth="1"/>
    <col min="518" max="518" width="12" customWidth="1"/>
    <col min="519" max="519" width="12.5" customWidth="1"/>
    <col min="521" max="521" width="33.33203125" customWidth="1"/>
    <col min="523" max="523" width="23.5" customWidth="1"/>
    <col min="524" max="524" width="20" customWidth="1"/>
    <col min="525" max="525" width="19.83203125" customWidth="1"/>
    <col min="526" max="526" width="19.33203125" customWidth="1"/>
    <col min="527" max="527" width="14" customWidth="1"/>
    <col min="528" max="528" width="25.1640625" customWidth="1"/>
    <col min="529" max="529" width="10.33203125" customWidth="1"/>
    <col min="531" max="531" width="31" customWidth="1"/>
    <col min="768" max="769" width="0" hidden="1" customWidth="1"/>
    <col min="772" max="772" width="20.33203125" customWidth="1"/>
    <col min="773" max="773" width="12.1640625" customWidth="1"/>
    <col min="774" max="774" width="12" customWidth="1"/>
    <col min="775" max="775" width="12.5" customWidth="1"/>
    <col min="777" max="777" width="33.33203125" customWidth="1"/>
    <col min="779" max="779" width="23.5" customWidth="1"/>
    <col min="780" max="780" width="20" customWidth="1"/>
    <col min="781" max="781" width="19.83203125" customWidth="1"/>
    <col min="782" max="782" width="19.33203125" customWidth="1"/>
    <col min="783" max="783" width="14" customWidth="1"/>
    <col min="784" max="784" width="25.1640625" customWidth="1"/>
    <col min="785" max="785" width="10.33203125" customWidth="1"/>
    <col min="787" max="787" width="31" customWidth="1"/>
    <col min="1024" max="1025" width="0" hidden="1" customWidth="1"/>
    <col min="1028" max="1028" width="20.33203125" customWidth="1"/>
    <col min="1029" max="1029" width="12.1640625" customWidth="1"/>
    <col min="1030" max="1030" width="12" customWidth="1"/>
    <col min="1031" max="1031" width="12.5" customWidth="1"/>
    <col min="1033" max="1033" width="33.33203125" customWidth="1"/>
    <col min="1035" max="1035" width="23.5" customWidth="1"/>
    <col min="1036" max="1036" width="20" customWidth="1"/>
    <col min="1037" max="1037" width="19.83203125" customWidth="1"/>
    <col min="1038" max="1038" width="19.33203125" customWidth="1"/>
    <col min="1039" max="1039" width="14" customWidth="1"/>
    <col min="1040" max="1040" width="25.1640625" customWidth="1"/>
    <col min="1041" max="1041" width="10.33203125" customWidth="1"/>
    <col min="1043" max="1043" width="31" customWidth="1"/>
    <col min="1280" max="1281" width="0" hidden="1" customWidth="1"/>
    <col min="1284" max="1284" width="20.33203125" customWidth="1"/>
    <col min="1285" max="1285" width="12.1640625" customWidth="1"/>
    <col min="1286" max="1286" width="12" customWidth="1"/>
    <col min="1287" max="1287" width="12.5" customWidth="1"/>
    <col min="1289" max="1289" width="33.33203125" customWidth="1"/>
    <col min="1291" max="1291" width="23.5" customWidth="1"/>
    <col min="1292" max="1292" width="20" customWidth="1"/>
    <col min="1293" max="1293" width="19.83203125" customWidth="1"/>
    <col min="1294" max="1294" width="19.33203125" customWidth="1"/>
    <col min="1295" max="1295" width="14" customWidth="1"/>
    <col min="1296" max="1296" width="25.1640625" customWidth="1"/>
    <col min="1297" max="1297" width="10.33203125" customWidth="1"/>
    <col min="1299" max="1299" width="31" customWidth="1"/>
    <col min="1536" max="1537" width="0" hidden="1" customWidth="1"/>
    <col min="1540" max="1540" width="20.33203125" customWidth="1"/>
    <col min="1541" max="1541" width="12.1640625" customWidth="1"/>
    <col min="1542" max="1542" width="12" customWidth="1"/>
    <col min="1543" max="1543" width="12.5" customWidth="1"/>
    <col min="1545" max="1545" width="33.33203125" customWidth="1"/>
    <col min="1547" max="1547" width="23.5" customWidth="1"/>
    <col min="1548" max="1548" width="20" customWidth="1"/>
    <col min="1549" max="1549" width="19.83203125" customWidth="1"/>
    <col min="1550" max="1550" width="19.33203125" customWidth="1"/>
    <col min="1551" max="1551" width="14" customWidth="1"/>
    <col min="1552" max="1552" width="25.1640625" customWidth="1"/>
    <col min="1553" max="1553" width="10.33203125" customWidth="1"/>
    <col min="1555" max="1555" width="31" customWidth="1"/>
    <col min="1792" max="1793" width="0" hidden="1" customWidth="1"/>
    <col min="1796" max="1796" width="20.33203125" customWidth="1"/>
    <col min="1797" max="1797" width="12.1640625" customWidth="1"/>
    <col min="1798" max="1798" width="12" customWidth="1"/>
    <col min="1799" max="1799" width="12.5" customWidth="1"/>
    <col min="1801" max="1801" width="33.33203125" customWidth="1"/>
    <col min="1803" max="1803" width="23.5" customWidth="1"/>
    <col min="1804" max="1804" width="20" customWidth="1"/>
    <col min="1805" max="1805" width="19.83203125" customWidth="1"/>
    <col min="1806" max="1806" width="19.33203125" customWidth="1"/>
    <col min="1807" max="1807" width="14" customWidth="1"/>
    <col min="1808" max="1808" width="25.1640625" customWidth="1"/>
    <col min="1809" max="1809" width="10.33203125" customWidth="1"/>
    <col min="1811" max="1811" width="31" customWidth="1"/>
    <col min="2048" max="2049" width="0" hidden="1" customWidth="1"/>
    <col min="2052" max="2052" width="20.33203125" customWidth="1"/>
    <col min="2053" max="2053" width="12.1640625" customWidth="1"/>
    <col min="2054" max="2054" width="12" customWidth="1"/>
    <col min="2055" max="2055" width="12.5" customWidth="1"/>
    <col min="2057" max="2057" width="33.33203125" customWidth="1"/>
    <col min="2059" max="2059" width="23.5" customWidth="1"/>
    <col min="2060" max="2060" width="20" customWidth="1"/>
    <col min="2061" max="2061" width="19.83203125" customWidth="1"/>
    <col min="2062" max="2062" width="19.33203125" customWidth="1"/>
    <col min="2063" max="2063" width="14" customWidth="1"/>
    <col min="2064" max="2064" width="25.1640625" customWidth="1"/>
    <col min="2065" max="2065" width="10.33203125" customWidth="1"/>
    <col min="2067" max="2067" width="31" customWidth="1"/>
    <col min="2304" max="2305" width="0" hidden="1" customWidth="1"/>
    <col min="2308" max="2308" width="20.33203125" customWidth="1"/>
    <col min="2309" max="2309" width="12.1640625" customWidth="1"/>
    <col min="2310" max="2310" width="12" customWidth="1"/>
    <col min="2311" max="2311" width="12.5" customWidth="1"/>
    <col min="2313" max="2313" width="33.33203125" customWidth="1"/>
    <col min="2315" max="2315" width="23.5" customWidth="1"/>
    <col min="2316" max="2316" width="20" customWidth="1"/>
    <col min="2317" max="2317" width="19.83203125" customWidth="1"/>
    <col min="2318" max="2318" width="19.33203125" customWidth="1"/>
    <col min="2319" max="2319" width="14" customWidth="1"/>
    <col min="2320" max="2320" width="25.1640625" customWidth="1"/>
    <col min="2321" max="2321" width="10.33203125" customWidth="1"/>
    <col min="2323" max="2323" width="31" customWidth="1"/>
    <col min="2560" max="2561" width="0" hidden="1" customWidth="1"/>
    <col min="2564" max="2564" width="20.33203125" customWidth="1"/>
    <col min="2565" max="2565" width="12.1640625" customWidth="1"/>
    <col min="2566" max="2566" width="12" customWidth="1"/>
    <col min="2567" max="2567" width="12.5" customWidth="1"/>
    <col min="2569" max="2569" width="33.33203125" customWidth="1"/>
    <col min="2571" max="2571" width="23.5" customWidth="1"/>
    <col min="2572" max="2572" width="20" customWidth="1"/>
    <col min="2573" max="2573" width="19.83203125" customWidth="1"/>
    <col min="2574" max="2574" width="19.33203125" customWidth="1"/>
    <col min="2575" max="2575" width="14" customWidth="1"/>
    <col min="2576" max="2576" width="25.1640625" customWidth="1"/>
    <col min="2577" max="2577" width="10.33203125" customWidth="1"/>
    <col min="2579" max="2579" width="31" customWidth="1"/>
    <col min="2816" max="2817" width="0" hidden="1" customWidth="1"/>
    <col min="2820" max="2820" width="20.33203125" customWidth="1"/>
    <col min="2821" max="2821" width="12.1640625" customWidth="1"/>
    <col min="2822" max="2822" width="12" customWidth="1"/>
    <col min="2823" max="2823" width="12.5" customWidth="1"/>
    <col min="2825" max="2825" width="33.33203125" customWidth="1"/>
    <col min="2827" max="2827" width="23.5" customWidth="1"/>
    <col min="2828" max="2828" width="20" customWidth="1"/>
    <col min="2829" max="2829" width="19.83203125" customWidth="1"/>
    <col min="2830" max="2830" width="19.33203125" customWidth="1"/>
    <col min="2831" max="2831" width="14" customWidth="1"/>
    <col min="2832" max="2832" width="25.1640625" customWidth="1"/>
    <col min="2833" max="2833" width="10.33203125" customWidth="1"/>
    <col min="2835" max="2835" width="31" customWidth="1"/>
    <col min="3072" max="3073" width="0" hidden="1" customWidth="1"/>
    <col min="3076" max="3076" width="20.33203125" customWidth="1"/>
    <col min="3077" max="3077" width="12.1640625" customWidth="1"/>
    <col min="3078" max="3078" width="12" customWidth="1"/>
    <col min="3079" max="3079" width="12.5" customWidth="1"/>
    <col min="3081" max="3081" width="33.33203125" customWidth="1"/>
    <col min="3083" max="3083" width="23.5" customWidth="1"/>
    <col min="3084" max="3084" width="20" customWidth="1"/>
    <col min="3085" max="3085" width="19.83203125" customWidth="1"/>
    <col min="3086" max="3086" width="19.33203125" customWidth="1"/>
    <col min="3087" max="3087" width="14" customWidth="1"/>
    <col min="3088" max="3088" width="25.1640625" customWidth="1"/>
    <col min="3089" max="3089" width="10.33203125" customWidth="1"/>
    <col min="3091" max="3091" width="31" customWidth="1"/>
    <col min="3328" max="3329" width="0" hidden="1" customWidth="1"/>
    <col min="3332" max="3332" width="20.33203125" customWidth="1"/>
    <col min="3333" max="3333" width="12.1640625" customWidth="1"/>
    <col min="3334" max="3334" width="12" customWidth="1"/>
    <col min="3335" max="3335" width="12.5" customWidth="1"/>
    <col min="3337" max="3337" width="33.33203125" customWidth="1"/>
    <col min="3339" max="3339" width="23.5" customWidth="1"/>
    <col min="3340" max="3340" width="20" customWidth="1"/>
    <col min="3341" max="3341" width="19.83203125" customWidth="1"/>
    <col min="3342" max="3342" width="19.33203125" customWidth="1"/>
    <col min="3343" max="3343" width="14" customWidth="1"/>
    <col min="3344" max="3344" width="25.1640625" customWidth="1"/>
    <col min="3345" max="3345" width="10.33203125" customWidth="1"/>
    <col min="3347" max="3347" width="31" customWidth="1"/>
    <col min="3584" max="3585" width="0" hidden="1" customWidth="1"/>
    <col min="3588" max="3588" width="20.33203125" customWidth="1"/>
    <col min="3589" max="3589" width="12.1640625" customWidth="1"/>
    <col min="3590" max="3590" width="12" customWidth="1"/>
    <col min="3591" max="3591" width="12.5" customWidth="1"/>
    <col min="3593" max="3593" width="33.33203125" customWidth="1"/>
    <col min="3595" max="3595" width="23.5" customWidth="1"/>
    <col min="3596" max="3596" width="20" customWidth="1"/>
    <col min="3597" max="3597" width="19.83203125" customWidth="1"/>
    <col min="3598" max="3598" width="19.33203125" customWidth="1"/>
    <col min="3599" max="3599" width="14" customWidth="1"/>
    <col min="3600" max="3600" width="25.1640625" customWidth="1"/>
    <col min="3601" max="3601" width="10.33203125" customWidth="1"/>
    <col min="3603" max="3603" width="31" customWidth="1"/>
    <col min="3840" max="3841" width="0" hidden="1" customWidth="1"/>
    <col min="3844" max="3844" width="20.33203125" customWidth="1"/>
    <col min="3845" max="3845" width="12.1640625" customWidth="1"/>
    <col min="3846" max="3846" width="12" customWidth="1"/>
    <col min="3847" max="3847" width="12.5" customWidth="1"/>
    <col min="3849" max="3849" width="33.33203125" customWidth="1"/>
    <col min="3851" max="3851" width="23.5" customWidth="1"/>
    <col min="3852" max="3852" width="20" customWidth="1"/>
    <col min="3853" max="3853" width="19.83203125" customWidth="1"/>
    <col min="3854" max="3854" width="19.33203125" customWidth="1"/>
    <col min="3855" max="3855" width="14" customWidth="1"/>
    <col min="3856" max="3856" width="25.1640625" customWidth="1"/>
    <col min="3857" max="3857" width="10.33203125" customWidth="1"/>
    <col min="3859" max="3859" width="31" customWidth="1"/>
    <col min="4096" max="4097" width="0" hidden="1" customWidth="1"/>
    <col min="4100" max="4100" width="20.33203125" customWidth="1"/>
    <col min="4101" max="4101" width="12.1640625" customWidth="1"/>
    <col min="4102" max="4102" width="12" customWidth="1"/>
    <col min="4103" max="4103" width="12.5" customWidth="1"/>
    <col min="4105" max="4105" width="33.33203125" customWidth="1"/>
    <col min="4107" max="4107" width="23.5" customWidth="1"/>
    <col min="4108" max="4108" width="20" customWidth="1"/>
    <col min="4109" max="4109" width="19.83203125" customWidth="1"/>
    <col min="4110" max="4110" width="19.33203125" customWidth="1"/>
    <col min="4111" max="4111" width="14" customWidth="1"/>
    <col min="4112" max="4112" width="25.1640625" customWidth="1"/>
    <col min="4113" max="4113" width="10.33203125" customWidth="1"/>
    <col min="4115" max="4115" width="31" customWidth="1"/>
    <col min="4352" max="4353" width="0" hidden="1" customWidth="1"/>
    <col min="4356" max="4356" width="20.33203125" customWidth="1"/>
    <col min="4357" max="4357" width="12.1640625" customWidth="1"/>
    <col min="4358" max="4358" width="12" customWidth="1"/>
    <col min="4359" max="4359" width="12.5" customWidth="1"/>
    <col min="4361" max="4361" width="33.33203125" customWidth="1"/>
    <col min="4363" max="4363" width="23.5" customWidth="1"/>
    <col min="4364" max="4364" width="20" customWidth="1"/>
    <col min="4365" max="4365" width="19.83203125" customWidth="1"/>
    <col min="4366" max="4366" width="19.33203125" customWidth="1"/>
    <col min="4367" max="4367" width="14" customWidth="1"/>
    <col min="4368" max="4368" width="25.1640625" customWidth="1"/>
    <col min="4369" max="4369" width="10.33203125" customWidth="1"/>
    <col min="4371" max="4371" width="31" customWidth="1"/>
    <col min="4608" max="4609" width="0" hidden="1" customWidth="1"/>
    <col min="4612" max="4612" width="20.33203125" customWidth="1"/>
    <col min="4613" max="4613" width="12.1640625" customWidth="1"/>
    <col min="4614" max="4614" width="12" customWidth="1"/>
    <col min="4615" max="4615" width="12.5" customWidth="1"/>
    <col min="4617" max="4617" width="33.33203125" customWidth="1"/>
    <col min="4619" max="4619" width="23.5" customWidth="1"/>
    <col min="4620" max="4620" width="20" customWidth="1"/>
    <col min="4621" max="4621" width="19.83203125" customWidth="1"/>
    <col min="4622" max="4622" width="19.33203125" customWidth="1"/>
    <col min="4623" max="4623" width="14" customWidth="1"/>
    <col min="4624" max="4624" width="25.1640625" customWidth="1"/>
    <col min="4625" max="4625" width="10.33203125" customWidth="1"/>
    <col min="4627" max="4627" width="31" customWidth="1"/>
    <col min="4864" max="4865" width="0" hidden="1" customWidth="1"/>
    <col min="4868" max="4868" width="20.33203125" customWidth="1"/>
    <col min="4869" max="4869" width="12.1640625" customWidth="1"/>
    <col min="4870" max="4870" width="12" customWidth="1"/>
    <col min="4871" max="4871" width="12.5" customWidth="1"/>
    <col min="4873" max="4873" width="33.33203125" customWidth="1"/>
    <col min="4875" max="4875" width="23.5" customWidth="1"/>
    <col min="4876" max="4876" width="20" customWidth="1"/>
    <col min="4877" max="4877" width="19.83203125" customWidth="1"/>
    <col min="4878" max="4878" width="19.33203125" customWidth="1"/>
    <col min="4879" max="4879" width="14" customWidth="1"/>
    <col min="4880" max="4880" width="25.1640625" customWidth="1"/>
    <col min="4881" max="4881" width="10.33203125" customWidth="1"/>
    <col min="4883" max="4883" width="31" customWidth="1"/>
    <col min="5120" max="5121" width="0" hidden="1" customWidth="1"/>
    <col min="5124" max="5124" width="20.33203125" customWidth="1"/>
    <col min="5125" max="5125" width="12.1640625" customWidth="1"/>
    <col min="5126" max="5126" width="12" customWidth="1"/>
    <col min="5127" max="5127" width="12.5" customWidth="1"/>
    <col min="5129" max="5129" width="33.33203125" customWidth="1"/>
    <col min="5131" max="5131" width="23.5" customWidth="1"/>
    <col min="5132" max="5132" width="20" customWidth="1"/>
    <col min="5133" max="5133" width="19.83203125" customWidth="1"/>
    <col min="5134" max="5134" width="19.33203125" customWidth="1"/>
    <col min="5135" max="5135" width="14" customWidth="1"/>
    <col min="5136" max="5136" width="25.1640625" customWidth="1"/>
    <col min="5137" max="5137" width="10.33203125" customWidth="1"/>
    <col min="5139" max="5139" width="31" customWidth="1"/>
    <col min="5376" max="5377" width="0" hidden="1" customWidth="1"/>
    <col min="5380" max="5380" width="20.33203125" customWidth="1"/>
    <col min="5381" max="5381" width="12.1640625" customWidth="1"/>
    <col min="5382" max="5382" width="12" customWidth="1"/>
    <col min="5383" max="5383" width="12.5" customWidth="1"/>
    <col min="5385" max="5385" width="33.33203125" customWidth="1"/>
    <col min="5387" max="5387" width="23.5" customWidth="1"/>
    <col min="5388" max="5388" width="20" customWidth="1"/>
    <col min="5389" max="5389" width="19.83203125" customWidth="1"/>
    <col min="5390" max="5390" width="19.33203125" customWidth="1"/>
    <col min="5391" max="5391" width="14" customWidth="1"/>
    <col min="5392" max="5392" width="25.1640625" customWidth="1"/>
    <col min="5393" max="5393" width="10.33203125" customWidth="1"/>
    <col min="5395" max="5395" width="31" customWidth="1"/>
    <col min="5632" max="5633" width="0" hidden="1" customWidth="1"/>
    <col min="5636" max="5636" width="20.33203125" customWidth="1"/>
    <col min="5637" max="5637" width="12.1640625" customWidth="1"/>
    <col min="5638" max="5638" width="12" customWidth="1"/>
    <col min="5639" max="5639" width="12.5" customWidth="1"/>
    <col min="5641" max="5641" width="33.33203125" customWidth="1"/>
    <col min="5643" max="5643" width="23.5" customWidth="1"/>
    <col min="5644" max="5644" width="20" customWidth="1"/>
    <col min="5645" max="5645" width="19.83203125" customWidth="1"/>
    <col min="5646" max="5646" width="19.33203125" customWidth="1"/>
    <col min="5647" max="5647" width="14" customWidth="1"/>
    <col min="5648" max="5648" width="25.1640625" customWidth="1"/>
    <col min="5649" max="5649" width="10.33203125" customWidth="1"/>
    <col min="5651" max="5651" width="31" customWidth="1"/>
    <col min="5888" max="5889" width="0" hidden="1" customWidth="1"/>
    <col min="5892" max="5892" width="20.33203125" customWidth="1"/>
    <col min="5893" max="5893" width="12.1640625" customWidth="1"/>
    <col min="5894" max="5894" width="12" customWidth="1"/>
    <col min="5895" max="5895" width="12.5" customWidth="1"/>
    <col min="5897" max="5897" width="33.33203125" customWidth="1"/>
    <col min="5899" max="5899" width="23.5" customWidth="1"/>
    <col min="5900" max="5900" width="20" customWidth="1"/>
    <col min="5901" max="5901" width="19.83203125" customWidth="1"/>
    <col min="5902" max="5902" width="19.33203125" customWidth="1"/>
    <col min="5903" max="5903" width="14" customWidth="1"/>
    <col min="5904" max="5904" width="25.1640625" customWidth="1"/>
    <col min="5905" max="5905" width="10.33203125" customWidth="1"/>
    <col min="5907" max="5907" width="31" customWidth="1"/>
    <col min="6144" max="6145" width="0" hidden="1" customWidth="1"/>
    <col min="6148" max="6148" width="20.33203125" customWidth="1"/>
    <col min="6149" max="6149" width="12.1640625" customWidth="1"/>
    <col min="6150" max="6150" width="12" customWidth="1"/>
    <col min="6151" max="6151" width="12.5" customWidth="1"/>
    <col min="6153" max="6153" width="33.33203125" customWidth="1"/>
    <col min="6155" max="6155" width="23.5" customWidth="1"/>
    <col min="6156" max="6156" width="20" customWidth="1"/>
    <col min="6157" max="6157" width="19.83203125" customWidth="1"/>
    <col min="6158" max="6158" width="19.33203125" customWidth="1"/>
    <col min="6159" max="6159" width="14" customWidth="1"/>
    <col min="6160" max="6160" width="25.1640625" customWidth="1"/>
    <col min="6161" max="6161" width="10.33203125" customWidth="1"/>
    <col min="6163" max="6163" width="31" customWidth="1"/>
    <col min="6400" max="6401" width="0" hidden="1" customWidth="1"/>
    <col min="6404" max="6404" width="20.33203125" customWidth="1"/>
    <col min="6405" max="6405" width="12.1640625" customWidth="1"/>
    <col min="6406" max="6406" width="12" customWidth="1"/>
    <col min="6407" max="6407" width="12.5" customWidth="1"/>
    <col min="6409" max="6409" width="33.33203125" customWidth="1"/>
    <col min="6411" max="6411" width="23.5" customWidth="1"/>
    <col min="6412" max="6412" width="20" customWidth="1"/>
    <col min="6413" max="6413" width="19.83203125" customWidth="1"/>
    <col min="6414" max="6414" width="19.33203125" customWidth="1"/>
    <col min="6415" max="6415" width="14" customWidth="1"/>
    <col min="6416" max="6416" width="25.1640625" customWidth="1"/>
    <col min="6417" max="6417" width="10.33203125" customWidth="1"/>
    <col min="6419" max="6419" width="31" customWidth="1"/>
    <col min="6656" max="6657" width="0" hidden="1" customWidth="1"/>
    <col min="6660" max="6660" width="20.33203125" customWidth="1"/>
    <col min="6661" max="6661" width="12.1640625" customWidth="1"/>
    <col min="6662" max="6662" width="12" customWidth="1"/>
    <col min="6663" max="6663" width="12.5" customWidth="1"/>
    <col min="6665" max="6665" width="33.33203125" customWidth="1"/>
    <col min="6667" max="6667" width="23.5" customWidth="1"/>
    <col min="6668" max="6668" width="20" customWidth="1"/>
    <col min="6669" max="6669" width="19.83203125" customWidth="1"/>
    <col min="6670" max="6670" width="19.33203125" customWidth="1"/>
    <col min="6671" max="6671" width="14" customWidth="1"/>
    <col min="6672" max="6672" width="25.1640625" customWidth="1"/>
    <col min="6673" max="6673" width="10.33203125" customWidth="1"/>
    <col min="6675" max="6675" width="31" customWidth="1"/>
    <col min="6912" max="6913" width="0" hidden="1" customWidth="1"/>
    <col min="6916" max="6916" width="20.33203125" customWidth="1"/>
    <col min="6917" max="6917" width="12.1640625" customWidth="1"/>
    <col min="6918" max="6918" width="12" customWidth="1"/>
    <col min="6919" max="6919" width="12.5" customWidth="1"/>
    <col min="6921" max="6921" width="33.33203125" customWidth="1"/>
    <col min="6923" max="6923" width="23.5" customWidth="1"/>
    <col min="6924" max="6924" width="20" customWidth="1"/>
    <col min="6925" max="6925" width="19.83203125" customWidth="1"/>
    <col min="6926" max="6926" width="19.33203125" customWidth="1"/>
    <col min="6927" max="6927" width="14" customWidth="1"/>
    <col min="6928" max="6928" width="25.1640625" customWidth="1"/>
    <col min="6929" max="6929" width="10.33203125" customWidth="1"/>
    <col min="6931" max="6931" width="31" customWidth="1"/>
    <col min="7168" max="7169" width="0" hidden="1" customWidth="1"/>
    <col min="7172" max="7172" width="20.33203125" customWidth="1"/>
    <col min="7173" max="7173" width="12.1640625" customWidth="1"/>
    <col min="7174" max="7174" width="12" customWidth="1"/>
    <col min="7175" max="7175" width="12.5" customWidth="1"/>
    <col min="7177" max="7177" width="33.33203125" customWidth="1"/>
    <col min="7179" max="7179" width="23.5" customWidth="1"/>
    <col min="7180" max="7180" width="20" customWidth="1"/>
    <col min="7181" max="7181" width="19.83203125" customWidth="1"/>
    <col min="7182" max="7182" width="19.33203125" customWidth="1"/>
    <col min="7183" max="7183" width="14" customWidth="1"/>
    <col min="7184" max="7184" width="25.1640625" customWidth="1"/>
    <col min="7185" max="7185" width="10.33203125" customWidth="1"/>
    <col min="7187" max="7187" width="31" customWidth="1"/>
    <col min="7424" max="7425" width="0" hidden="1" customWidth="1"/>
    <col min="7428" max="7428" width="20.33203125" customWidth="1"/>
    <col min="7429" max="7429" width="12.1640625" customWidth="1"/>
    <col min="7430" max="7430" width="12" customWidth="1"/>
    <col min="7431" max="7431" width="12.5" customWidth="1"/>
    <col min="7433" max="7433" width="33.33203125" customWidth="1"/>
    <col min="7435" max="7435" width="23.5" customWidth="1"/>
    <col min="7436" max="7436" width="20" customWidth="1"/>
    <col min="7437" max="7437" width="19.83203125" customWidth="1"/>
    <col min="7438" max="7438" width="19.33203125" customWidth="1"/>
    <col min="7439" max="7439" width="14" customWidth="1"/>
    <col min="7440" max="7440" width="25.1640625" customWidth="1"/>
    <col min="7441" max="7441" width="10.33203125" customWidth="1"/>
    <col min="7443" max="7443" width="31" customWidth="1"/>
    <col min="7680" max="7681" width="0" hidden="1" customWidth="1"/>
    <col min="7684" max="7684" width="20.33203125" customWidth="1"/>
    <col min="7685" max="7685" width="12.1640625" customWidth="1"/>
    <col min="7686" max="7686" width="12" customWidth="1"/>
    <col min="7687" max="7687" width="12.5" customWidth="1"/>
    <col min="7689" max="7689" width="33.33203125" customWidth="1"/>
    <col min="7691" max="7691" width="23.5" customWidth="1"/>
    <col min="7692" max="7692" width="20" customWidth="1"/>
    <col min="7693" max="7693" width="19.83203125" customWidth="1"/>
    <col min="7694" max="7694" width="19.33203125" customWidth="1"/>
    <col min="7695" max="7695" width="14" customWidth="1"/>
    <col min="7696" max="7696" width="25.1640625" customWidth="1"/>
    <col min="7697" max="7697" width="10.33203125" customWidth="1"/>
    <col min="7699" max="7699" width="31" customWidth="1"/>
    <col min="7936" max="7937" width="0" hidden="1" customWidth="1"/>
    <col min="7940" max="7940" width="20.33203125" customWidth="1"/>
    <col min="7941" max="7941" width="12.1640625" customWidth="1"/>
    <col min="7942" max="7942" width="12" customWidth="1"/>
    <col min="7943" max="7943" width="12.5" customWidth="1"/>
    <col min="7945" max="7945" width="33.33203125" customWidth="1"/>
    <col min="7947" max="7947" width="23.5" customWidth="1"/>
    <col min="7948" max="7948" width="20" customWidth="1"/>
    <col min="7949" max="7949" width="19.83203125" customWidth="1"/>
    <col min="7950" max="7950" width="19.33203125" customWidth="1"/>
    <col min="7951" max="7951" width="14" customWidth="1"/>
    <col min="7952" max="7952" width="25.1640625" customWidth="1"/>
    <col min="7953" max="7953" width="10.33203125" customWidth="1"/>
    <col min="7955" max="7955" width="31" customWidth="1"/>
    <col min="8192" max="8193" width="0" hidden="1" customWidth="1"/>
    <col min="8196" max="8196" width="20.33203125" customWidth="1"/>
    <col min="8197" max="8197" width="12.1640625" customWidth="1"/>
    <col min="8198" max="8198" width="12" customWidth="1"/>
    <col min="8199" max="8199" width="12.5" customWidth="1"/>
    <col min="8201" max="8201" width="33.33203125" customWidth="1"/>
    <col min="8203" max="8203" width="23.5" customWidth="1"/>
    <col min="8204" max="8204" width="20" customWidth="1"/>
    <col min="8205" max="8205" width="19.83203125" customWidth="1"/>
    <col min="8206" max="8206" width="19.33203125" customWidth="1"/>
    <col min="8207" max="8207" width="14" customWidth="1"/>
    <col min="8208" max="8208" width="25.1640625" customWidth="1"/>
    <col min="8209" max="8209" width="10.33203125" customWidth="1"/>
    <col min="8211" max="8211" width="31" customWidth="1"/>
    <col min="8448" max="8449" width="0" hidden="1" customWidth="1"/>
    <col min="8452" max="8452" width="20.33203125" customWidth="1"/>
    <col min="8453" max="8453" width="12.1640625" customWidth="1"/>
    <col min="8454" max="8454" width="12" customWidth="1"/>
    <col min="8455" max="8455" width="12.5" customWidth="1"/>
    <col min="8457" max="8457" width="33.33203125" customWidth="1"/>
    <col min="8459" max="8459" width="23.5" customWidth="1"/>
    <col min="8460" max="8460" width="20" customWidth="1"/>
    <col min="8461" max="8461" width="19.83203125" customWidth="1"/>
    <col min="8462" max="8462" width="19.33203125" customWidth="1"/>
    <col min="8463" max="8463" width="14" customWidth="1"/>
    <col min="8464" max="8464" width="25.1640625" customWidth="1"/>
    <col min="8465" max="8465" width="10.33203125" customWidth="1"/>
    <col min="8467" max="8467" width="31" customWidth="1"/>
    <col min="8704" max="8705" width="0" hidden="1" customWidth="1"/>
    <col min="8708" max="8708" width="20.33203125" customWidth="1"/>
    <col min="8709" max="8709" width="12.1640625" customWidth="1"/>
    <col min="8710" max="8710" width="12" customWidth="1"/>
    <col min="8711" max="8711" width="12.5" customWidth="1"/>
    <col min="8713" max="8713" width="33.33203125" customWidth="1"/>
    <col min="8715" max="8715" width="23.5" customWidth="1"/>
    <col min="8716" max="8716" width="20" customWidth="1"/>
    <col min="8717" max="8717" width="19.83203125" customWidth="1"/>
    <col min="8718" max="8718" width="19.33203125" customWidth="1"/>
    <col min="8719" max="8719" width="14" customWidth="1"/>
    <col min="8720" max="8720" width="25.1640625" customWidth="1"/>
    <col min="8721" max="8721" width="10.33203125" customWidth="1"/>
    <col min="8723" max="8723" width="31" customWidth="1"/>
    <col min="8960" max="8961" width="0" hidden="1" customWidth="1"/>
    <col min="8964" max="8964" width="20.33203125" customWidth="1"/>
    <col min="8965" max="8965" width="12.1640625" customWidth="1"/>
    <col min="8966" max="8966" width="12" customWidth="1"/>
    <col min="8967" max="8967" width="12.5" customWidth="1"/>
    <col min="8969" max="8969" width="33.33203125" customWidth="1"/>
    <col min="8971" max="8971" width="23.5" customWidth="1"/>
    <col min="8972" max="8972" width="20" customWidth="1"/>
    <col min="8973" max="8973" width="19.83203125" customWidth="1"/>
    <col min="8974" max="8974" width="19.33203125" customWidth="1"/>
    <col min="8975" max="8975" width="14" customWidth="1"/>
    <col min="8976" max="8976" width="25.1640625" customWidth="1"/>
    <col min="8977" max="8977" width="10.33203125" customWidth="1"/>
    <col min="8979" max="8979" width="31" customWidth="1"/>
    <col min="9216" max="9217" width="0" hidden="1" customWidth="1"/>
    <col min="9220" max="9220" width="20.33203125" customWidth="1"/>
    <col min="9221" max="9221" width="12.1640625" customWidth="1"/>
    <col min="9222" max="9222" width="12" customWidth="1"/>
    <col min="9223" max="9223" width="12.5" customWidth="1"/>
    <col min="9225" max="9225" width="33.33203125" customWidth="1"/>
    <col min="9227" max="9227" width="23.5" customWidth="1"/>
    <col min="9228" max="9228" width="20" customWidth="1"/>
    <col min="9229" max="9229" width="19.83203125" customWidth="1"/>
    <col min="9230" max="9230" width="19.33203125" customWidth="1"/>
    <col min="9231" max="9231" width="14" customWidth="1"/>
    <col min="9232" max="9232" width="25.1640625" customWidth="1"/>
    <col min="9233" max="9233" width="10.33203125" customWidth="1"/>
    <col min="9235" max="9235" width="31" customWidth="1"/>
    <col min="9472" max="9473" width="0" hidden="1" customWidth="1"/>
    <col min="9476" max="9476" width="20.33203125" customWidth="1"/>
    <col min="9477" max="9477" width="12.1640625" customWidth="1"/>
    <col min="9478" max="9478" width="12" customWidth="1"/>
    <col min="9479" max="9479" width="12.5" customWidth="1"/>
    <col min="9481" max="9481" width="33.33203125" customWidth="1"/>
    <col min="9483" max="9483" width="23.5" customWidth="1"/>
    <col min="9484" max="9484" width="20" customWidth="1"/>
    <col min="9485" max="9485" width="19.83203125" customWidth="1"/>
    <col min="9486" max="9486" width="19.33203125" customWidth="1"/>
    <col min="9487" max="9487" width="14" customWidth="1"/>
    <col min="9488" max="9488" width="25.1640625" customWidth="1"/>
    <col min="9489" max="9489" width="10.33203125" customWidth="1"/>
    <col min="9491" max="9491" width="31" customWidth="1"/>
    <col min="9728" max="9729" width="0" hidden="1" customWidth="1"/>
    <col min="9732" max="9732" width="20.33203125" customWidth="1"/>
    <col min="9733" max="9733" width="12.1640625" customWidth="1"/>
    <col min="9734" max="9734" width="12" customWidth="1"/>
    <col min="9735" max="9735" width="12.5" customWidth="1"/>
    <col min="9737" max="9737" width="33.33203125" customWidth="1"/>
    <col min="9739" max="9739" width="23.5" customWidth="1"/>
    <col min="9740" max="9740" width="20" customWidth="1"/>
    <col min="9741" max="9741" width="19.83203125" customWidth="1"/>
    <col min="9742" max="9742" width="19.33203125" customWidth="1"/>
    <col min="9743" max="9743" width="14" customWidth="1"/>
    <col min="9744" max="9744" width="25.1640625" customWidth="1"/>
    <col min="9745" max="9745" width="10.33203125" customWidth="1"/>
    <col min="9747" max="9747" width="31" customWidth="1"/>
    <col min="9984" max="9985" width="0" hidden="1" customWidth="1"/>
    <col min="9988" max="9988" width="20.33203125" customWidth="1"/>
    <col min="9989" max="9989" width="12.1640625" customWidth="1"/>
    <col min="9990" max="9990" width="12" customWidth="1"/>
    <col min="9991" max="9991" width="12.5" customWidth="1"/>
    <col min="9993" max="9993" width="33.33203125" customWidth="1"/>
    <col min="9995" max="9995" width="23.5" customWidth="1"/>
    <col min="9996" max="9996" width="20" customWidth="1"/>
    <col min="9997" max="9997" width="19.83203125" customWidth="1"/>
    <col min="9998" max="9998" width="19.33203125" customWidth="1"/>
    <col min="9999" max="9999" width="14" customWidth="1"/>
    <col min="10000" max="10000" width="25.1640625" customWidth="1"/>
    <col min="10001" max="10001" width="10.33203125" customWidth="1"/>
    <col min="10003" max="10003" width="31" customWidth="1"/>
    <col min="10240" max="10241" width="0" hidden="1" customWidth="1"/>
    <col min="10244" max="10244" width="20.33203125" customWidth="1"/>
    <col min="10245" max="10245" width="12.1640625" customWidth="1"/>
    <col min="10246" max="10246" width="12" customWidth="1"/>
    <col min="10247" max="10247" width="12.5" customWidth="1"/>
    <col min="10249" max="10249" width="33.33203125" customWidth="1"/>
    <col min="10251" max="10251" width="23.5" customWidth="1"/>
    <col min="10252" max="10252" width="20" customWidth="1"/>
    <col min="10253" max="10253" width="19.83203125" customWidth="1"/>
    <col min="10254" max="10254" width="19.33203125" customWidth="1"/>
    <col min="10255" max="10255" width="14" customWidth="1"/>
    <col min="10256" max="10256" width="25.1640625" customWidth="1"/>
    <col min="10257" max="10257" width="10.33203125" customWidth="1"/>
    <col min="10259" max="10259" width="31" customWidth="1"/>
    <col min="10496" max="10497" width="0" hidden="1" customWidth="1"/>
    <col min="10500" max="10500" width="20.33203125" customWidth="1"/>
    <col min="10501" max="10501" width="12.1640625" customWidth="1"/>
    <col min="10502" max="10502" width="12" customWidth="1"/>
    <col min="10503" max="10503" width="12.5" customWidth="1"/>
    <col min="10505" max="10505" width="33.33203125" customWidth="1"/>
    <col min="10507" max="10507" width="23.5" customWidth="1"/>
    <col min="10508" max="10508" width="20" customWidth="1"/>
    <col min="10509" max="10509" width="19.83203125" customWidth="1"/>
    <col min="10510" max="10510" width="19.33203125" customWidth="1"/>
    <col min="10511" max="10511" width="14" customWidth="1"/>
    <col min="10512" max="10512" width="25.1640625" customWidth="1"/>
    <col min="10513" max="10513" width="10.33203125" customWidth="1"/>
    <col min="10515" max="10515" width="31" customWidth="1"/>
    <col min="10752" max="10753" width="0" hidden="1" customWidth="1"/>
    <col min="10756" max="10756" width="20.33203125" customWidth="1"/>
    <col min="10757" max="10757" width="12.1640625" customWidth="1"/>
    <col min="10758" max="10758" width="12" customWidth="1"/>
    <col min="10759" max="10759" width="12.5" customWidth="1"/>
    <col min="10761" max="10761" width="33.33203125" customWidth="1"/>
    <col min="10763" max="10763" width="23.5" customWidth="1"/>
    <col min="10764" max="10764" width="20" customWidth="1"/>
    <col min="10765" max="10765" width="19.83203125" customWidth="1"/>
    <col min="10766" max="10766" width="19.33203125" customWidth="1"/>
    <col min="10767" max="10767" width="14" customWidth="1"/>
    <col min="10768" max="10768" width="25.1640625" customWidth="1"/>
    <col min="10769" max="10769" width="10.33203125" customWidth="1"/>
    <col min="10771" max="10771" width="31" customWidth="1"/>
    <col min="11008" max="11009" width="0" hidden="1" customWidth="1"/>
    <col min="11012" max="11012" width="20.33203125" customWidth="1"/>
    <col min="11013" max="11013" width="12.1640625" customWidth="1"/>
    <col min="11014" max="11014" width="12" customWidth="1"/>
    <col min="11015" max="11015" width="12.5" customWidth="1"/>
    <col min="11017" max="11017" width="33.33203125" customWidth="1"/>
    <col min="11019" max="11019" width="23.5" customWidth="1"/>
    <col min="11020" max="11020" width="20" customWidth="1"/>
    <col min="11021" max="11021" width="19.83203125" customWidth="1"/>
    <col min="11022" max="11022" width="19.33203125" customWidth="1"/>
    <col min="11023" max="11023" width="14" customWidth="1"/>
    <col min="11024" max="11024" width="25.1640625" customWidth="1"/>
    <col min="11025" max="11025" width="10.33203125" customWidth="1"/>
    <col min="11027" max="11027" width="31" customWidth="1"/>
    <col min="11264" max="11265" width="0" hidden="1" customWidth="1"/>
    <col min="11268" max="11268" width="20.33203125" customWidth="1"/>
    <col min="11269" max="11269" width="12.1640625" customWidth="1"/>
    <col min="11270" max="11270" width="12" customWidth="1"/>
    <col min="11271" max="11271" width="12.5" customWidth="1"/>
    <col min="11273" max="11273" width="33.33203125" customWidth="1"/>
    <col min="11275" max="11275" width="23.5" customWidth="1"/>
    <col min="11276" max="11276" width="20" customWidth="1"/>
    <col min="11277" max="11277" width="19.83203125" customWidth="1"/>
    <col min="11278" max="11278" width="19.33203125" customWidth="1"/>
    <col min="11279" max="11279" width="14" customWidth="1"/>
    <col min="11280" max="11280" width="25.1640625" customWidth="1"/>
    <col min="11281" max="11281" width="10.33203125" customWidth="1"/>
    <col min="11283" max="11283" width="31" customWidth="1"/>
    <col min="11520" max="11521" width="0" hidden="1" customWidth="1"/>
    <col min="11524" max="11524" width="20.33203125" customWidth="1"/>
    <col min="11525" max="11525" width="12.1640625" customWidth="1"/>
    <col min="11526" max="11526" width="12" customWidth="1"/>
    <col min="11527" max="11527" width="12.5" customWidth="1"/>
    <col min="11529" max="11529" width="33.33203125" customWidth="1"/>
    <col min="11531" max="11531" width="23.5" customWidth="1"/>
    <col min="11532" max="11532" width="20" customWidth="1"/>
    <col min="11533" max="11533" width="19.83203125" customWidth="1"/>
    <col min="11534" max="11534" width="19.33203125" customWidth="1"/>
    <col min="11535" max="11535" width="14" customWidth="1"/>
    <col min="11536" max="11536" width="25.1640625" customWidth="1"/>
    <col min="11537" max="11537" width="10.33203125" customWidth="1"/>
    <col min="11539" max="11539" width="31" customWidth="1"/>
    <col min="11776" max="11777" width="0" hidden="1" customWidth="1"/>
    <col min="11780" max="11780" width="20.33203125" customWidth="1"/>
    <col min="11781" max="11781" width="12.1640625" customWidth="1"/>
    <col min="11782" max="11782" width="12" customWidth="1"/>
    <col min="11783" max="11783" width="12.5" customWidth="1"/>
    <col min="11785" max="11785" width="33.33203125" customWidth="1"/>
    <col min="11787" max="11787" width="23.5" customWidth="1"/>
    <col min="11788" max="11788" width="20" customWidth="1"/>
    <col min="11789" max="11789" width="19.83203125" customWidth="1"/>
    <col min="11790" max="11790" width="19.33203125" customWidth="1"/>
    <col min="11791" max="11791" width="14" customWidth="1"/>
    <col min="11792" max="11792" width="25.1640625" customWidth="1"/>
    <col min="11793" max="11793" width="10.33203125" customWidth="1"/>
    <col min="11795" max="11795" width="31" customWidth="1"/>
    <col min="12032" max="12033" width="0" hidden="1" customWidth="1"/>
    <col min="12036" max="12036" width="20.33203125" customWidth="1"/>
    <col min="12037" max="12037" width="12.1640625" customWidth="1"/>
    <col min="12038" max="12038" width="12" customWidth="1"/>
    <col min="12039" max="12039" width="12.5" customWidth="1"/>
    <col min="12041" max="12041" width="33.33203125" customWidth="1"/>
    <col min="12043" max="12043" width="23.5" customWidth="1"/>
    <col min="12044" max="12044" width="20" customWidth="1"/>
    <col min="12045" max="12045" width="19.83203125" customWidth="1"/>
    <col min="12046" max="12046" width="19.33203125" customWidth="1"/>
    <col min="12047" max="12047" width="14" customWidth="1"/>
    <col min="12048" max="12048" width="25.1640625" customWidth="1"/>
    <col min="12049" max="12049" width="10.33203125" customWidth="1"/>
    <col min="12051" max="12051" width="31" customWidth="1"/>
    <col min="12288" max="12289" width="0" hidden="1" customWidth="1"/>
    <col min="12292" max="12292" width="20.33203125" customWidth="1"/>
    <col min="12293" max="12293" width="12.1640625" customWidth="1"/>
    <col min="12294" max="12294" width="12" customWidth="1"/>
    <col min="12295" max="12295" width="12.5" customWidth="1"/>
    <col min="12297" max="12297" width="33.33203125" customWidth="1"/>
    <col min="12299" max="12299" width="23.5" customWidth="1"/>
    <col min="12300" max="12300" width="20" customWidth="1"/>
    <col min="12301" max="12301" width="19.83203125" customWidth="1"/>
    <col min="12302" max="12302" width="19.33203125" customWidth="1"/>
    <col min="12303" max="12303" width="14" customWidth="1"/>
    <col min="12304" max="12304" width="25.1640625" customWidth="1"/>
    <col min="12305" max="12305" width="10.33203125" customWidth="1"/>
    <col min="12307" max="12307" width="31" customWidth="1"/>
    <col min="12544" max="12545" width="0" hidden="1" customWidth="1"/>
    <col min="12548" max="12548" width="20.33203125" customWidth="1"/>
    <col min="12549" max="12549" width="12.1640625" customWidth="1"/>
    <col min="12550" max="12550" width="12" customWidth="1"/>
    <col min="12551" max="12551" width="12.5" customWidth="1"/>
    <col min="12553" max="12553" width="33.33203125" customWidth="1"/>
    <col min="12555" max="12555" width="23.5" customWidth="1"/>
    <col min="12556" max="12556" width="20" customWidth="1"/>
    <col min="12557" max="12557" width="19.83203125" customWidth="1"/>
    <col min="12558" max="12558" width="19.33203125" customWidth="1"/>
    <col min="12559" max="12559" width="14" customWidth="1"/>
    <col min="12560" max="12560" width="25.1640625" customWidth="1"/>
    <col min="12561" max="12561" width="10.33203125" customWidth="1"/>
    <col min="12563" max="12563" width="31" customWidth="1"/>
    <col min="12800" max="12801" width="0" hidden="1" customWidth="1"/>
    <col min="12804" max="12804" width="20.33203125" customWidth="1"/>
    <col min="12805" max="12805" width="12.1640625" customWidth="1"/>
    <col min="12806" max="12806" width="12" customWidth="1"/>
    <col min="12807" max="12807" width="12.5" customWidth="1"/>
    <col min="12809" max="12809" width="33.33203125" customWidth="1"/>
    <col min="12811" max="12811" width="23.5" customWidth="1"/>
    <col min="12812" max="12812" width="20" customWidth="1"/>
    <col min="12813" max="12813" width="19.83203125" customWidth="1"/>
    <col min="12814" max="12814" width="19.33203125" customWidth="1"/>
    <col min="12815" max="12815" width="14" customWidth="1"/>
    <col min="12816" max="12816" width="25.1640625" customWidth="1"/>
    <col min="12817" max="12817" width="10.33203125" customWidth="1"/>
    <col min="12819" max="12819" width="31" customWidth="1"/>
    <col min="13056" max="13057" width="0" hidden="1" customWidth="1"/>
    <col min="13060" max="13060" width="20.33203125" customWidth="1"/>
    <col min="13061" max="13061" width="12.1640625" customWidth="1"/>
    <col min="13062" max="13062" width="12" customWidth="1"/>
    <col min="13063" max="13063" width="12.5" customWidth="1"/>
    <col min="13065" max="13065" width="33.33203125" customWidth="1"/>
    <col min="13067" max="13067" width="23.5" customWidth="1"/>
    <col min="13068" max="13068" width="20" customWidth="1"/>
    <col min="13069" max="13069" width="19.83203125" customWidth="1"/>
    <col min="13070" max="13070" width="19.33203125" customWidth="1"/>
    <col min="13071" max="13071" width="14" customWidth="1"/>
    <col min="13072" max="13072" width="25.1640625" customWidth="1"/>
    <col min="13073" max="13073" width="10.33203125" customWidth="1"/>
    <col min="13075" max="13075" width="31" customWidth="1"/>
    <col min="13312" max="13313" width="0" hidden="1" customWidth="1"/>
    <col min="13316" max="13316" width="20.33203125" customWidth="1"/>
    <col min="13317" max="13317" width="12.1640625" customWidth="1"/>
    <col min="13318" max="13318" width="12" customWidth="1"/>
    <col min="13319" max="13319" width="12.5" customWidth="1"/>
    <col min="13321" max="13321" width="33.33203125" customWidth="1"/>
    <col min="13323" max="13323" width="23.5" customWidth="1"/>
    <col min="13324" max="13324" width="20" customWidth="1"/>
    <col min="13325" max="13325" width="19.83203125" customWidth="1"/>
    <col min="13326" max="13326" width="19.33203125" customWidth="1"/>
    <col min="13327" max="13327" width="14" customWidth="1"/>
    <col min="13328" max="13328" width="25.1640625" customWidth="1"/>
    <col min="13329" max="13329" width="10.33203125" customWidth="1"/>
    <col min="13331" max="13331" width="31" customWidth="1"/>
    <col min="13568" max="13569" width="0" hidden="1" customWidth="1"/>
    <col min="13572" max="13572" width="20.33203125" customWidth="1"/>
    <col min="13573" max="13573" width="12.1640625" customWidth="1"/>
    <col min="13574" max="13574" width="12" customWidth="1"/>
    <col min="13575" max="13575" width="12.5" customWidth="1"/>
    <col min="13577" max="13577" width="33.33203125" customWidth="1"/>
    <col min="13579" max="13579" width="23.5" customWidth="1"/>
    <col min="13580" max="13580" width="20" customWidth="1"/>
    <col min="13581" max="13581" width="19.83203125" customWidth="1"/>
    <col min="13582" max="13582" width="19.33203125" customWidth="1"/>
    <col min="13583" max="13583" width="14" customWidth="1"/>
    <col min="13584" max="13584" width="25.1640625" customWidth="1"/>
    <col min="13585" max="13585" width="10.33203125" customWidth="1"/>
    <col min="13587" max="13587" width="31" customWidth="1"/>
    <col min="13824" max="13825" width="0" hidden="1" customWidth="1"/>
    <col min="13828" max="13828" width="20.33203125" customWidth="1"/>
    <col min="13829" max="13829" width="12.1640625" customWidth="1"/>
    <col min="13830" max="13830" width="12" customWidth="1"/>
    <col min="13831" max="13831" width="12.5" customWidth="1"/>
    <col min="13833" max="13833" width="33.33203125" customWidth="1"/>
    <col min="13835" max="13835" width="23.5" customWidth="1"/>
    <col min="13836" max="13836" width="20" customWidth="1"/>
    <col min="13837" max="13837" width="19.83203125" customWidth="1"/>
    <col min="13838" max="13838" width="19.33203125" customWidth="1"/>
    <col min="13839" max="13839" width="14" customWidth="1"/>
    <col min="13840" max="13840" width="25.1640625" customWidth="1"/>
    <col min="13841" max="13841" width="10.33203125" customWidth="1"/>
    <col min="13843" max="13843" width="31" customWidth="1"/>
    <col min="14080" max="14081" width="0" hidden="1" customWidth="1"/>
    <col min="14084" max="14084" width="20.33203125" customWidth="1"/>
    <col min="14085" max="14085" width="12.1640625" customWidth="1"/>
    <col min="14086" max="14086" width="12" customWidth="1"/>
    <col min="14087" max="14087" width="12.5" customWidth="1"/>
    <col min="14089" max="14089" width="33.33203125" customWidth="1"/>
    <col min="14091" max="14091" width="23.5" customWidth="1"/>
    <col min="14092" max="14092" width="20" customWidth="1"/>
    <col min="14093" max="14093" width="19.83203125" customWidth="1"/>
    <col min="14094" max="14094" width="19.33203125" customWidth="1"/>
    <col min="14095" max="14095" width="14" customWidth="1"/>
    <col min="14096" max="14096" width="25.1640625" customWidth="1"/>
    <col min="14097" max="14097" width="10.33203125" customWidth="1"/>
    <col min="14099" max="14099" width="31" customWidth="1"/>
    <col min="14336" max="14337" width="0" hidden="1" customWidth="1"/>
    <col min="14340" max="14340" width="20.33203125" customWidth="1"/>
    <col min="14341" max="14341" width="12.1640625" customWidth="1"/>
    <col min="14342" max="14342" width="12" customWidth="1"/>
    <col min="14343" max="14343" width="12.5" customWidth="1"/>
    <col min="14345" max="14345" width="33.33203125" customWidth="1"/>
    <col min="14347" max="14347" width="23.5" customWidth="1"/>
    <col min="14348" max="14348" width="20" customWidth="1"/>
    <col min="14349" max="14349" width="19.83203125" customWidth="1"/>
    <col min="14350" max="14350" width="19.33203125" customWidth="1"/>
    <col min="14351" max="14351" width="14" customWidth="1"/>
    <col min="14352" max="14352" width="25.1640625" customWidth="1"/>
    <col min="14353" max="14353" width="10.33203125" customWidth="1"/>
    <col min="14355" max="14355" width="31" customWidth="1"/>
    <col min="14592" max="14593" width="0" hidden="1" customWidth="1"/>
    <col min="14596" max="14596" width="20.33203125" customWidth="1"/>
    <col min="14597" max="14597" width="12.1640625" customWidth="1"/>
    <col min="14598" max="14598" width="12" customWidth="1"/>
    <col min="14599" max="14599" width="12.5" customWidth="1"/>
    <col min="14601" max="14601" width="33.33203125" customWidth="1"/>
    <col min="14603" max="14603" width="23.5" customWidth="1"/>
    <col min="14604" max="14604" width="20" customWidth="1"/>
    <col min="14605" max="14605" width="19.83203125" customWidth="1"/>
    <col min="14606" max="14606" width="19.33203125" customWidth="1"/>
    <col min="14607" max="14607" width="14" customWidth="1"/>
    <col min="14608" max="14608" width="25.1640625" customWidth="1"/>
    <col min="14609" max="14609" width="10.33203125" customWidth="1"/>
    <col min="14611" max="14611" width="31" customWidth="1"/>
    <col min="14848" max="14849" width="0" hidden="1" customWidth="1"/>
    <col min="14852" max="14852" width="20.33203125" customWidth="1"/>
    <col min="14853" max="14853" width="12.1640625" customWidth="1"/>
    <col min="14854" max="14854" width="12" customWidth="1"/>
    <col min="14855" max="14855" width="12.5" customWidth="1"/>
    <col min="14857" max="14857" width="33.33203125" customWidth="1"/>
    <col min="14859" max="14859" width="23.5" customWidth="1"/>
    <col min="14860" max="14860" width="20" customWidth="1"/>
    <col min="14861" max="14861" width="19.83203125" customWidth="1"/>
    <col min="14862" max="14862" width="19.33203125" customWidth="1"/>
    <col min="14863" max="14863" width="14" customWidth="1"/>
    <col min="14864" max="14864" width="25.1640625" customWidth="1"/>
    <col min="14865" max="14865" width="10.33203125" customWidth="1"/>
    <col min="14867" max="14867" width="31" customWidth="1"/>
    <col min="15104" max="15105" width="0" hidden="1" customWidth="1"/>
    <col min="15108" max="15108" width="20.33203125" customWidth="1"/>
    <col min="15109" max="15109" width="12.1640625" customWidth="1"/>
    <col min="15110" max="15110" width="12" customWidth="1"/>
    <col min="15111" max="15111" width="12.5" customWidth="1"/>
    <col min="15113" max="15113" width="33.33203125" customWidth="1"/>
    <col min="15115" max="15115" width="23.5" customWidth="1"/>
    <col min="15116" max="15116" width="20" customWidth="1"/>
    <col min="15117" max="15117" width="19.83203125" customWidth="1"/>
    <col min="15118" max="15118" width="19.33203125" customWidth="1"/>
    <col min="15119" max="15119" width="14" customWidth="1"/>
    <col min="15120" max="15120" width="25.1640625" customWidth="1"/>
    <col min="15121" max="15121" width="10.33203125" customWidth="1"/>
    <col min="15123" max="15123" width="31" customWidth="1"/>
    <col min="15360" max="15361" width="0" hidden="1" customWidth="1"/>
    <col min="15364" max="15364" width="20.33203125" customWidth="1"/>
    <col min="15365" max="15365" width="12.1640625" customWidth="1"/>
    <col min="15366" max="15366" width="12" customWidth="1"/>
    <col min="15367" max="15367" width="12.5" customWidth="1"/>
    <col min="15369" max="15369" width="33.33203125" customWidth="1"/>
    <col min="15371" max="15371" width="23.5" customWidth="1"/>
    <col min="15372" max="15372" width="20" customWidth="1"/>
    <col min="15373" max="15373" width="19.83203125" customWidth="1"/>
    <col min="15374" max="15374" width="19.33203125" customWidth="1"/>
    <col min="15375" max="15375" width="14" customWidth="1"/>
    <col min="15376" max="15376" width="25.1640625" customWidth="1"/>
    <col min="15377" max="15377" width="10.33203125" customWidth="1"/>
    <col min="15379" max="15379" width="31" customWidth="1"/>
    <col min="15616" max="15617" width="0" hidden="1" customWidth="1"/>
    <col min="15620" max="15620" width="20.33203125" customWidth="1"/>
    <col min="15621" max="15621" width="12.1640625" customWidth="1"/>
    <col min="15622" max="15622" width="12" customWidth="1"/>
    <col min="15623" max="15623" width="12.5" customWidth="1"/>
    <col min="15625" max="15625" width="33.33203125" customWidth="1"/>
    <col min="15627" max="15627" width="23.5" customWidth="1"/>
    <col min="15628" max="15628" width="20" customWidth="1"/>
    <col min="15629" max="15629" width="19.83203125" customWidth="1"/>
    <col min="15630" max="15630" width="19.33203125" customWidth="1"/>
    <col min="15631" max="15631" width="14" customWidth="1"/>
    <col min="15632" max="15632" width="25.1640625" customWidth="1"/>
    <col min="15633" max="15633" width="10.33203125" customWidth="1"/>
    <col min="15635" max="15635" width="31" customWidth="1"/>
    <col min="15872" max="15873" width="0" hidden="1" customWidth="1"/>
    <col min="15876" max="15876" width="20.33203125" customWidth="1"/>
    <col min="15877" max="15877" width="12.1640625" customWidth="1"/>
    <col min="15878" max="15878" width="12" customWidth="1"/>
    <col min="15879" max="15879" width="12.5" customWidth="1"/>
    <col min="15881" max="15881" width="33.33203125" customWidth="1"/>
    <col min="15883" max="15883" width="23.5" customWidth="1"/>
    <col min="15884" max="15884" width="20" customWidth="1"/>
    <col min="15885" max="15885" width="19.83203125" customWidth="1"/>
    <col min="15886" max="15886" width="19.33203125" customWidth="1"/>
    <col min="15887" max="15887" width="14" customWidth="1"/>
    <col min="15888" max="15888" width="25.1640625" customWidth="1"/>
    <col min="15889" max="15889" width="10.33203125" customWidth="1"/>
    <col min="15891" max="15891" width="31" customWidth="1"/>
    <col min="16128" max="16129" width="0" hidden="1" customWidth="1"/>
    <col min="16132" max="16132" width="20.33203125" customWidth="1"/>
    <col min="16133" max="16133" width="12.1640625" customWidth="1"/>
    <col min="16134" max="16134" width="12" customWidth="1"/>
    <col min="16135" max="16135" width="12.5" customWidth="1"/>
    <col min="16137" max="16137" width="33.33203125" customWidth="1"/>
    <col min="16139" max="16139" width="23.5" customWidth="1"/>
    <col min="16140" max="16140" width="20" customWidth="1"/>
    <col min="16141" max="16141" width="19.83203125" customWidth="1"/>
    <col min="16142" max="16142" width="19.33203125" customWidth="1"/>
    <col min="16143" max="16143" width="14" customWidth="1"/>
    <col min="16144" max="16144" width="25.1640625" customWidth="1"/>
    <col min="16145" max="16145" width="10.33203125" customWidth="1"/>
    <col min="16147" max="16147" width="31" customWidth="1"/>
  </cols>
  <sheetData>
    <row r="1" spans="1:20" ht="68" x14ac:dyDescent="0.2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25" t="s">
        <v>419</v>
      </c>
      <c r="T1" s="25" t="s">
        <v>420</v>
      </c>
    </row>
    <row r="2" spans="1:20" x14ac:dyDescent="0.2">
      <c r="A2" s="8">
        <v>7810823</v>
      </c>
      <c r="B2">
        <v>53</v>
      </c>
      <c r="C2" t="s">
        <v>20</v>
      </c>
      <c r="D2" t="s">
        <v>21</v>
      </c>
      <c r="E2" t="s">
        <v>22</v>
      </c>
      <c r="F2" t="s">
        <v>23</v>
      </c>
      <c r="I2" t="s">
        <v>24</v>
      </c>
      <c r="J2" t="s">
        <v>25</v>
      </c>
      <c r="M2" t="s">
        <v>26</v>
      </c>
      <c r="O2" t="s">
        <v>27</v>
      </c>
      <c r="Q2" t="s">
        <v>28</v>
      </c>
      <c r="S2" t="s">
        <v>421</v>
      </c>
      <c r="T2" t="s">
        <v>422</v>
      </c>
    </row>
    <row r="3" spans="1:20" x14ac:dyDescent="0.2">
      <c r="A3" s="8">
        <v>2352010389</v>
      </c>
      <c r="B3">
        <v>20</v>
      </c>
      <c r="C3" t="s">
        <v>30</v>
      </c>
      <c r="D3" t="s">
        <v>31</v>
      </c>
      <c r="F3" t="s">
        <v>32</v>
      </c>
      <c r="G3" t="s">
        <v>33</v>
      </c>
      <c r="I3" t="s">
        <v>34</v>
      </c>
      <c r="M3" t="s">
        <v>35</v>
      </c>
      <c r="Q3" t="s">
        <v>36</v>
      </c>
      <c r="S3" t="s">
        <v>421</v>
      </c>
      <c r="T3" t="s">
        <v>423</v>
      </c>
    </row>
    <row r="4" spans="1:20" x14ac:dyDescent="0.2">
      <c r="A4" s="8">
        <v>244010017</v>
      </c>
      <c r="B4">
        <v>17</v>
      </c>
      <c r="C4" t="s">
        <v>20</v>
      </c>
      <c r="D4" t="s">
        <v>37</v>
      </c>
      <c r="F4" t="s">
        <v>38</v>
      </c>
      <c r="I4" t="s">
        <v>39</v>
      </c>
      <c r="J4" t="s">
        <v>40</v>
      </c>
      <c r="O4" t="s">
        <v>41</v>
      </c>
      <c r="Q4" t="s">
        <v>42</v>
      </c>
      <c r="S4" t="s">
        <v>421</v>
      </c>
      <c r="T4" t="s">
        <v>423</v>
      </c>
    </row>
    <row r="5" spans="1:20" x14ac:dyDescent="0.2">
      <c r="A5" s="8">
        <v>5359010662</v>
      </c>
      <c r="B5">
        <v>51</v>
      </c>
      <c r="C5" t="s">
        <v>30</v>
      </c>
      <c r="D5" t="s">
        <v>43</v>
      </c>
      <c r="E5" t="s">
        <v>44</v>
      </c>
      <c r="F5" t="s">
        <v>45</v>
      </c>
      <c r="M5" t="s">
        <v>46</v>
      </c>
      <c r="Q5" t="s">
        <v>47</v>
      </c>
      <c r="S5" t="s">
        <v>424</v>
      </c>
    </row>
    <row r="6" spans="1:20" x14ac:dyDescent="0.2">
      <c r="A6" s="8">
        <v>261610479</v>
      </c>
      <c r="B6">
        <v>39</v>
      </c>
      <c r="C6" t="s">
        <v>20</v>
      </c>
      <c r="D6" t="s">
        <v>48</v>
      </c>
      <c r="F6" t="s">
        <v>49</v>
      </c>
      <c r="G6" t="s">
        <v>50</v>
      </c>
      <c r="I6" t="s">
        <v>51</v>
      </c>
      <c r="J6" t="s">
        <v>52</v>
      </c>
      <c r="M6" t="s">
        <v>53</v>
      </c>
      <c r="Q6" t="s">
        <v>54</v>
      </c>
      <c r="S6" t="s">
        <v>424</v>
      </c>
      <c r="T6" t="s">
        <v>425</v>
      </c>
    </row>
    <row r="7" spans="1:20" x14ac:dyDescent="0.2">
      <c r="A7" s="8">
        <v>378410775</v>
      </c>
      <c r="B7">
        <v>34</v>
      </c>
      <c r="C7" t="s">
        <v>30</v>
      </c>
      <c r="D7" t="s">
        <v>55</v>
      </c>
      <c r="F7" t="s">
        <v>56</v>
      </c>
      <c r="G7" t="s">
        <v>57</v>
      </c>
      <c r="I7" t="s">
        <v>58</v>
      </c>
      <c r="J7" t="s">
        <v>59</v>
      </c>
      <c r="M7" t="s">
        <v>60</v>
      </c>
      <c r="N7" t="s">
        <v>57</v>
      </c>
      <c r="O7" t="s">
        <v>61</v>
      </c>
      <c r="Q7" t="s">
        <v>62</v>
      </c>
      <c r="S7" t="s">
        <v>421</v>
      </c>
      <c r="T7" t="s">
        <v>423</v>
      </c>
    </row>
    <row r="8" spans="1:20" x14ac:dyDescent="0.2">
      <c r="A8" s="8">
        <v>1502010397</v>
      </c>
      <c r="B8">
        <v>16</v>
      </c>
      <c r="C8" t="s">
        <v>30</v>
      </c>
      <c r="D8" t="s">
        <v>64</v>
      </c>
      <c r="F8" t="s">
        <v>49</v>
      </c>
      <c r="I8" t="s">
        <v>65</v>
      </c>
      <c r="J8" t="s">
        <v>66</v>
      </c>
      <c r="Q8" t="s">
        <v>67</v>
      </c>
      <c r="S8" t="s">
        <v>424</v>
      </c>
      <c r="T8" t="s">
        <v>425</v>
      </c>
    </row>
    <row r="9" spans="1:20" x14ac:dyDescent="0.2">
      <c r="A9" s="8">
        <v>2353710622</v>
      </c>
      <c r="B9">
        <v>18</v>
      </c>
      <c r="C9" t="s">
        <v>20</v>
      </c>
      <c r="D9" t="s">
        <v>68</v>
      </c>
      <c r="F9" t="s">
        <v>49</v>
      </c>
      <c r="G9" t="s">
        <v>69</v>
      </c>
      <c r="I9" t="s">
        <v>70</v>
      </c>
      <c r="J9" t="s">
        <v>71</v>
      </c>
      <c r="M9" t="s">
        <v>72</v>
      </c>
      <c r="Q9" t="s">
        <v>73</v>
      </c>
      <c r="S9" t="s">
        <v>424</v>
      </c>
      <c r="T9" t="s">
        <v>423</v>
      </c>
    </row>
    <row r="10" spans="1:20" x14ac:dyDescent="0.2">
      <c r="A10" s="8">
        <v>1045410614</v>
      </c>
      <c r="B10">
        <v>40</v>
      </c>
      <c r="C10" t="s">
        <v>20</v>
      </c>
      <c r="D10" t="s">
        <v>74</v>
      </c>
      <c r="E10" t="s">
        <v>44</v>
      </c>
      <c r="F10" t="s">
        <v>75</v>
      </c>
      <c r="O10" t="s">
        <v>76</v>
      </c>
      <c r="Q10" t="s">
        <v>77</v>
      </c>
      <c r="S10" t="s">
        <v>421</v>
      </c>
    </row>
    <row r="11" spans="1:20" x14ac:dyDescent="0.2">
      <c r="A11" s="8">
        <v>4803410866</v>
      </c>
      <c r="B11">
        <v>20</v>
      </c>
      <c r="C11" t="s">
        <v>20</v>
      </c>
      <c r="D11" t="s">
        <v>78</v>
      </c>
      <c r="E11" t="s">
        <v>44</v>
      </c>
      <c r="F11" t="s">
        <v>79</v>
      </c>
      <c r="N11" t="s">
        <v>80</v>
      </c>
      <c r="Q11" t="s">
        <v>81</v>
      </c>
      <c r="S11" t="s">
        <v>424</v>
      </c>
    </row>
    <row r="12" spans="1:20" x14ac:dyDescent="0.2">
      <c r="A12" s="8">
        <v>384210994</v>
      </c>
      <c r="B12">
        <v>30</v>
      </c>
      <c r="C12" t="s">
        <v>30</v>
      </c>
      <c r="D12" t="s">
        <v>82</v>
      </c>
      <c r="E12" t="s">
        <v>44</v>
      </c>
      <c r="F12" t="s">
        <v>83</v>
      </c>
      <c r="G12" t="s">
        <v>84</v>
      </c>
      <c r="Q12" t="s">
        <v>85</v>
      </c>
      <c r="S12" t="s">
        <v>424</v>
      </c>
    </row>
    <row r="13" spans="1:20" x14ac:dyDescent="0.2">
      <c r="A13" s="8">
        <v>77110497</v>
      </c>
      <c r="B13">
        <v>26</v>
      </c>
      <c r="C13" t="s">
        <v>30</v>
      </c>
      <c r="D13" t="s">
        <v>86</v>
      </c>
      <c r="F13" t="s">
        <v>87</v>
      </c>
      <c r="G13" t="s">
        <v>88</v>
      </c>
      <c r="I13" t="s">
        <v>89</v>
      </c>
      <c r="J13" t="s">
        <v>90</v>
      </c>
      <c r="S13" t="s">
        <v>421</v>
      </c>
      <c r="T13" t="s">
        <v>422</v>
      </c>
    </row>
    <row r="14" spans="1:20" x14ac:dyDescent="0.2">
      <c r="A14" s="8">
        <v>35210409</v>
      </c>
      <c r="B14">
        <v>29</v>
      </c>
      <c r="C14" t="s">
        <v>30</v>
      </c>
      <c r="D14" t="s">
        <v>91</v>
      </c>
      <c r="F14" t="s">
        <v>92</v>
      </c>
      <c r="G14" t="s">
        <v>93</v>
      </c>
      <c r="I14" t="s">
        <v>94</v>
      </c>
      <c r="J14" t="s">
        <v>95</v>
      </c>
      <c r="O14" t="s">
        <v>96</v>
      </c>
      <c r="Q14" t="s">
        <v>97</v>
      </c>
      <c r="S14" t="s">
        <v>424</v>
      </c>
      <c r="T14" t="s">
        <v>423</v>
      </c>
    </row>
    <row r="15" spans="1:20" x14ac:dyDescent="0.2">
      <c r="A15" s="8">
        <v>153910595</v>
      </c>
      <c r="B15">
        <v>62</v>
      </c>
      <c r="C15" t="s">
        <v>30</v>
      </c>
      <c r="D15" t="s">
        <v>98</v>
      </c>
      <c r="F15" t="s">
        <v>99</v>
      </c>
      <c r="G15" t="s">
        <v>100</v>
      </c>
      <c r="I15" t="s">
        <v>101</v>
      </c>
      <c r="J15" t="s">
        <v>102</v>
      </c>
      <c r="M15" t="s">
        <v>103</v>
      </c>
      <c r="O15" t="s">
        <v>104</v>
      </c>
      <c r="Q15" t="s">
        <v>105</v>
      </c>
      <c r="S15" t="s">
        <v>426</v>
      </c>
      <c r="T15" t="s">
        <v>427</v>
      </c>
    </row>
    <row r="16" spans="1:20" x14ac:dyDescent="0.2">
      <c r="A16" s="8">
        <v>274210173</v>
      </c>
      <c r="B16">
        <v>77</v>
      </c>
      <c r="C16" t="s">
        <v>20</v>
      </c>
      <c r="D16" t="s">
        <v>106</v>
      </c>
      <c r="F16" t="s">
        <v>92</v>
      </c>
      <c r="G16" t="s">
        <v>107</v>
      </c>
      <c r="I16" t="s">
        <v>108</v>
      </c>
      <c r="J16" t="s">
        <v>109</v>
      </c>
      <c r="Q16" t="s">
        <v>110</v>
      </c>
      <c r="S16" t="s">
        <v>424</v>
      </c>
      <c r="T16" t="s">
        <v>423</v>
      </c>
    </row>
    <row r="17" spans="1:20" x14ac:dyDescent="0.2">
      <c r="A17" s="8">
        <v>436610288</v>
      </c>
      <c r="B17">
        <v>67</v>
      </c>
      <c r="C17" t="s">
        <v>20</v>
      </c>
      <c r="D17" t="s">
        <v>111</v>
      </c>
      <c r="F17" t="s">
        <v>92</v>
      </c>
      <c r="G17" t="s">
        <v>112</v>
      </c>
      <c r="I17" t="s">
        <v>113</v>
      </c>
      <c r="J17" t="s">
        <v>114</v>
      </c>
      <c r="M17" t="s">
        <v>115</v>
      </c>
      <c r="Q17" t="s">
        <v>116</v>
      </c>
      <c r="S17" t="s">
        <v>426</v>
      </c>
      <c r="T17" t="s">
        <v>428</v>
      </c>
    </row>
    <row r="18" spans="1:20" x14ac:dyDescent="0.2">
      <c r="A18" s="8">
        <v>503810366</v>
      </c>
      <c r="B18">
        <v>72</v>
      </c>
      <c r="C18" t="s">
        <v>30</v>
      </c>
      <c r="D18" t="s">
        <v>117</v>
      </c>
      <c r="E18" t="s">
        <v>44</v>
      </c>
      <c r="F18" t="s">
        <v>118</v>
      </c>
      <c r="G18" t="s">
        <v>119</v>
      </c>
      <c r="N18" t="s">
        <v>120</v>
      </c>
      <c r="Q18" t="s">
        <v>121</v>
      </c>
      <c r="S18" t="s">
        <v>424</v>
      </c>
      <c r="T18" t="s">
        <v>429</v>
      </c>
    </row>
    <row r="19" spans="1:20" x14ac:dyDescent="0.2">
      <c r="A19" s="8">
        <v>559910689</v>
      </c>
      <c r="B19">
        <v>34</v>
      </c>
      <c r="C19" t="s">
        <v>30</v>
      </c>
      <c r="D19" t="s">
        <v>122</v>
      </c>
      <c r="E19" t="s">
        <v>22</v>
      </c>
      <c r="F19" t="s">
        <v>92</v>
      </c>
      <c r="G19" t="s">
        <v>123</v>
      </c>
      <c r="J19" t="s">
        <v>124</v>
      </c>
      <c r="M19" t="s">
        <v>125</v>
      </c>
      <c r="O19" t="s">
        <v>126</v>
      </c>
      <c r="Q19" t="s">
        <v>127</v>
      </c>
      <c r="S19" t="s">
        <v>421</v>
      </c>
      <c r="T19" t="s">
        <v>430</v>
      </c>
    </row>
    <row r="20" spans="1:20" x14ac:dyDescent="0.2">
      <c r="A20" s="8">
        <v>644210241</v>
      </c>
      <c r="B20">
        <v>66</v>
      </c>
      <c r="C20" t="s">
        <v>30</v>
      </c>
      <c r="D20" t="s">
        <v>128</v>
      </c>
      <c r="E20" t="s">
        <v>44</v>
      </c>
      <c r="F20" t="s">
        <v>92</v>
      </c>
      <c r="G20" t="s">
        <v>129</v>
      </c>
      <c r="I20" t="s">
        <v>130</v>
      </c>
      <c r="J20" t="s">
        <v>131</v>
      </c>
      <c r="Q20" t="s">
        <v>132</v>
      </c>
      <c r="S20" t="s">
        <v>426</v>
      </c>
      <c r="T20" t="s">
        <v>427</v>
      </c>
    </row>
    <row r="21" spans="1:20" x14ac:dyDescent="0.2">
      <c r="A21" s="8">
        <v>812210207</v>
      </c>
      <c r="B21">
        <v>38</v>
      </c>
      <c r="C21" t="s">
        <v>20</v>
      </c>
      <c r="D21" t="s">
        <v>133</v>
      </c>
      <c r="E21" t="s">
        <v>44</v>
      </c>
      <c r="F21" t="s">
        <v>92</v>
      </c>
      <c r="M21" t="s">
        <v>134</v>
      </c>
      <c r="Q21" t="s">
        <v>135</v>
      </c>
      <c r="S21" t="s">
        <v>424</v>
      </c>
    </row>
    <row r="22" spans="1:20" x14ac:dyDescent="0.2">
      <c r="A22" s="8">
        <v>925810409</v>
      </c>
      <c r="B22">
        <v>31</v>
      </c>
      <c r="C22" t="s">
        <v>20</v>
      </c>
      <c r="D22" t="s">
        <v>136</v>
      </c>
      <c r="F22" t="s">
        <v>137</v>
      </c>
      <c r="G22" t="s">
        <v>138</v>
      </c>
      <c r="I22" t="s">
        <v>139</v>
      </c>
      <c r="J22" t="s">
        <v>140</v>
      </c>
      <c r="M22" t="s">
        <v>141</v>
      </c>
      <c r="O22" t="s">
        <v>142</v>
      </c>
      <c r="Q22" t="s">
        <v>143</v>
      </c>
      <c r="S22" t="s">
        <v>421</v>
      </c>
      <c r="T22" t="s">
        <v>422</v>
      </c>
    </row>
    <row r="23" spans="1:20" x14ac:dyDescent="0.2">
      <c r="A23" s="8">
        <v>1054010302</v>
      </c>
      <c r="B23">
        <v>33</v>
      </c>
      <c r="C23" t="s">
        <v>20</v>
      </c>
      <c r="D23" t="s">
        <v>144</v>
      </c>
      <c r="F23" t="s">
        <v>145</v>
      </c>
      <c r="G23" t="s">
        <v>146</v>
      </c>
      <c r="I23" t="s">
        <v>147</v>
      </c>
      <c r="J23" t="s">
        <v>148</v>
      </c>
      <c r="M23" t="s">
        <v>149</v>
      </c>
      <c r="O23" t="s">
        <v>150</v>
      </c>
      <c r="Q23" t="s">
        <v>151</v>
      </c>
      <c r="S23" t="s">
        <v>421</v>
      </c>
      <c r="T23" t="s">
        <v>422</v>
      </c>
    </row>
    <row r="24" spans="1:20" x14ac:dyDescent="0.2">
      <c r="A24" s="8">
        <v>1525510677</v>
      </c>
      <c r="B24">
        <v>39</v>
      </c>
      <c r="C24" t="s">
        <v>30</v>
      </c>
      <c r="D24" t="s">
        <v>152</v>
      </c>
      <c r="F24" t="s">
        <v>145</v>
      </c>
      <c r="G24" t="s">
        <v>153</v>
      </c>
      <c r="I24" t="s">
        <v>154</v>
      </c>
      <c r="J24" t="s">
        <v>155</v>
      </c>
      <c r="M24" t="s">
        <v>156</v>
      </c>
      <c r="O24" t="s">
        <v>157</v>
      </c>
      <c r="Q24" t="s">
        <v>158</v>
      </c>
      <c r="S24" t="s">
        <v>421</v>
      </c>
      <c r="T24" t="s">
        <v>422</v>
      </c>
    </row>
    <row r="25" spans="1:20" x14ac:dyDescent="0.2">
      <c r="A25" s="8">
        <v>1721910803</v>
      </c>
      <c r="B25">
        <v>34</v>
      </c>
      <c r="C25" t="s">
        <v>30</v>
      </c>
      <c r="D25" t="s">
        <v>159</v>
      </c>
      <c r="E25" t="s">
        <v>22</v>
      </c>
      <c r="F25" t="s">
        <v>160</v>
      </c>
      <c r="Q25" t="s">
        <v>161</v>
      </c>
      <c r="S25" t="s">
        <v>424</v>
      </c>
    </row>
    <row r="26" spans="1:20" x14ac:dyDescent="0.2">
      <c r="A26" s="8">
        <v>1985010365</v>
      </c>
      <c r="B26">
        <v>72</v>
      </c>
      <c r="C26" t="s">
        <v>30</v>
      </c>
      <c r="D26" t="s">
        <v>162</v>
      </c>
      <c r="E26" t="s">
        <v>22</v>
      </c>
      <c r="F26" t="s">
        <v>92</v>
      </c>
      <c r="J26" t="s">
        <v>163</v>
      </c>
      <c r="M26" t="s">
        <v>164</v>
      </c>
      <c r="O26" t="s">
        <v>165</v>
      </c>
      <c r="Q26" t="s">
        <v>166</v>
      </c>
      <c r="S26" t="s">
        <v>424</v>
      </c>
    </row>
    <row r="27" spans="1:20" x14ac:dyDescent="0.2">
      <c r="A27" s="8">
        <v>2020510974</v>
      </c>
      <c r="B27">
        <v>55</v>
      </c>
      <c r="C27" t="s">
        <v>30</v>
      </c>
      <c r="D27" t="s">
        <v>167</v>
      </c>
      <c r="E27" t="s">
        <v>22</v>
      </c>
      <c r="F27" t="s">
        <v>92</v>
      </c>
      <c r="G27" t="s">
        <v>168</v>
      </c>
      <c r="I27" t="s">
        <v>169</v>
      </c>
      <c r="J27" t="s">
        <v>170</v>
      </c>
      <c r="O27" t="s">
        <v>171</v>
      </c>
      <c r="Q27" t="s">
        <v>172</v>
      </c>
      <c r="S27" t="s">
        <v>426</v>
      </c>
      <c r="T27" t="s">
        <v>431</v>
      </c>
    </row>
    <row r="28" spans="1:20" x14ac:dyDescent="0.2">
      <c r="A28" s="8">
        <v>2520610627</v>
      </c>
      <c r="B28">
        <v>44</v>
      </c>
      <c r="C28" t="s">
        <v>20</v>
      </c>
      <c r="D28" t="s">
        <v>159</v>
      </c>
      <c r="E28" t="s">
        <v>22</v>
      </c>
      <c r="F28" t="s">
        <v>92</v>
      </c>
      <c r="O28" t="s">
        <v>173</v>
      </c>
      <c r="Q28" t="s">
        <v>174</v>
      </c>
      <c r="S28" t="s">
        <v>421</v>
      </c>
    </row>
    <row r="29" spans="1:20" x14ac:dyDescent="0.2">
      <c r="A29" s="8">
        <v>3954810544</v>
      </c>
      <c r="B29">
        <v>58</v>
      </c>
      <c r="C29" t="s">
        <v>30</v>
      </c>
      <c r="D29" t="s">
        <v>175</v>
      </c>
      <c r="F29" t="s">
        <v>176</v>
      </c>
      <c r="G29" t="s">
        <v>177</v>
      </c>
      <c r="I29" t="s">
        <v>178</v>
      </c>
      <c r="J29" t="s">
        <v>179</v>
      </c>
      <c r="M29" t="s">
        <v>180</v>
      </c>
      <c r="O29" t="s">
        <v>181</v>
      </c>
      <c r="Q29" t="s">
        <v>182</v>
      </c>
      <c r="S29" t="s">
        <v>426</v>
      </c>
      <c r="T29" t="s">
        <v>431</v>
      </c>
    </row>
    <row r="30" spans="1:20" x14ac:dyDescent="0.2">
      <c r="A30" s="8">
        <v>726710461</v>
      </c>
      <c r="B30">
        <v>47</v>
      </c>
      <c r="C30" t="s">
        <v>30</v>
      </c>
      <c r="D30" t="s">
        <v>183</v>
      </c>
      <c r="E30" t="s">
        <v>22</v>
      </c>
      <c r="F30" t="s">
        <v>184</v>
      </c>
      <c r="G30" t="s">
        <v>185</v>
      </c>
      <c r="J30" t="s">
        <v>186</v>
      </c>
      <c r="N30" t="s">
        <v>187</v>
      </c>
      <c r="O30" t="s">
        <v>188</v>
      </c>
      <c r="Q30" t="s">
        <v>189</v>
      </c>
      <c r="S30" t="s">
        <v>421</v>
      </c>
      <c r="T30" t="s">
        <v>430</v>
      </c>
    </row>
    <row r="31" spans="1:20" x14ac:dyDescent="0.2">
      <c r="A31" s="8">
        <v>833410289</v>
      </c>
      <c r="B31">
        <v>24</v>
      </c>
      <c r="C31" t="s">
        <v>20</v>
      </c>
      <c r="D31" t="s">
        <v>190</v>
      </c>
      <c r="E31" t="s">
        <v>22</v>
      </c>
      <c r="F31" t="s">
        <v>191</v>
      </c>
      <c r="N31" t="s">
        <v>192</v>
      </c>
      <c r="O31" t="s">
        <v>193</v>
      </c>
      <c r="Q31" t="s">
        <v>194</v>
      </c>
      <c r="S31" t="s">
        <v>421</v>
      </c>
    </row>
    <row r="32" spans="1:20" x14ac:dyDescent="0.2">
      <c r="A32" s="8">
        <v>971510284</v>
      </c>
      <c r="B32">
        <v>60</v>
      </c>
      <c r="C32" t="s">
        <v>30</v>
      </c>
      <c r="D32" t="s">
        <v>195</v>
      </c>
      <c r="E32" t="s">
        <v>22</v>
      </c>
      <c r="F32" t="s">
        <v>191</v>
      </c>
      <c r="N32" t="s">
        <v>196</v>
      </c>
      <c r="O32" t="s">
        <v>197</v>
      </c>
      <c r="Q32" t="s">
        <v>198</v>
      </c>
      <c r="S32" t="s">
        <v>421</v>
      </c>
    </row>
    <row r="33" spans="1:20" x14ac:dyDescent="0.2">
      <c r="A33" s="8">
        <v>1094310233</v>
      </c>
      <c r="B33">
        <v>4</v>
      </c>
      <c r="C33" t="s">
        <v>30</v>
      </c>
      <c r="D33" t="s">
        <v>199</v>
      </c>
      <c r="E33" t="s">
        <v>22</v>
      </c>
      <c r="F33" t="s">
        <v>191</v>
      </c>
      <c r="M33" t="s">
        <v>200</v>
      </c>
      <c r="N33" t="s">
        <v>196</v>
      </c>
      <c r="O33" t="s">
        <v>201</v>
      </c>
      <c r="Q33" t="s">
        <v>202</v>
      </c>
      <c r="S33" t="s">
        <v>424</v>
      </c>
      <c r="T33" t="s">
        <v>432</v>
      </c>
    </row>
    <row r="34" spans="1:20" x14ac:dyDescent="0.2">
      <c r="A34" s="8">
        <v>38410333</v>
      </c>
      <c r="B34">
        <v>33</v>
      </c>
      <c r="C34" t="s">
        <v>20</v>
      </c>
      <c r="D34" t="s">
        <v>203</v>
      </c>
      <c r="E34" t="s">
        <v>22</v>
      </c>
      <c r="F34" t="s">
        <v>204</v>
      </c>
      <c r="J34" t="s">
        <v>205</v>
      </c>
      <c r="N34" t="s">
        <v>206</v>
      </c>
      <c r="O34" t="s">
        <v>207</v>
      </c>
      <c r="Q34" t="s">
        <v>208</v>
      </c>
      <c r="S34" t="s">
        <v>421</v>
      </c>
      <c r="T34" t="s">
        <v>433</v>
      </c>
    </row>
    <row r="35" spans="1:20" x14ac:dyDescent="0.2">
      <c r="A35" s="8">
        <v>3525210465</v>
      </c>
      <c r="B35">
        <v>56</v>
      </c>
      <c r="C35" t="s">
        <v>30</v>
      </c>
      <c r="D35" t="s">
        <v>209</v>
      </c>
      <c r="F35" t="s">
        <v>210</v>
      </c>
      <c r="I35" t="s">
        <v>211</v>
      </c>
      <c r="J35" t="s">
        <v>212</v>
      </c>
      <c r="Q35" t="s">
        <v>213</v>
      </c>
      <c r="S35" t="s">
        <v>424</v>
      </c>
    </row>
    <row r="36" spans="1:20" x14ac:dyDescent="0.2">
      <c r="A36" s="8">
        <v>2010394</v>
      </c>
      <c r="B36">
        <v>33</v>
      </c>
      <c r="C36" t="s">
        <v>30</v>
      </c>
      <c r="D36" t="s">
        <v>214</v>
      </c>
      <c r="E36" t="s">
        <v>22</v>
      </c>
      <c r="F36" t="s">
        <v>215</v>
      </c>
      <c r="J36" t="s">
        <v>216</v>
      </c>
      <c r="O36" t="s">
        <v>217</v>
      </c>
      <c r="Q36" t="s">
        <v>218</v>
      </c>
      <c r="S36" t="s">
        <v>421</v>
      </c>
      <c r="T36" t="s">
        <v>433</v>
      </c>
    </row>
    <row r="37" spans="1:20" x14ac:dyDescent="0.2">
      <c r="A37" s="8">
        <v>62910668</v>
      </c>
      <c r="B37">
        <v>59</v>
      </c>
      <c r="C37" t="s">
        <v>30</v>
      </c>
      <c r="D37" t="s">
        <v>219</v>
      </c>
      <c r="E37" t="s">
        <v>22</v>
      </c>
      <c r="F37" t="s">
        <v>220</v>
      </c>
      <c r="G37" t="s">
        <v>221</v>
      </c>
      <c r="M37" t="s">
        <v>222</v>
      </c>
      <c r="O37" t="s">
        <v>223</v>
      </c>
      <c r="Q37" t="s">
        <v>224</v>
      </c>
      <c r="S37" t="s">
        <v>424</v>
      </c>
    </row>
    <row r="38" spans="1:20" x14ac:dyDescent="0.2">
      <c r="A38" s="8">
        <v>75310568</v>
      </c>
      <c r="B38">
        <v>54</v>
      </c>
      <c r="C38" t="s">
        <v>20</v>
      </c>
      <c r="D38" t="s">
        <v>225</v>
      </c>
      <c r="E38" t="s">
        <v>44</v>
      </c>
      <c r="F38" t="s">
        <v>220</v>
      </c>
      <c r="G38" t="s">
        <v>226</v>
      </c>
      <c r="I38" t="s">
        <v>227</v>
      </c>
      <c r="J38" t="s">
        <v>228</v>
      </c>
      <c r="M38" t="s">
        <v>229</v>
      </c>
      <c r="Q38" t="s">
        <v>230</v>
      </c>
      <c r="S38" t="s">
        <v>434</v>
      </c>
      <c r="T38" t="s">
        <v>422</v>
      </c>
    </row>
    <row r="39" spans="1:20" x14ac:dyDescent="0.2">
      <c r="A39" s="8">
        <v>120310166</v>
      </c>
      <c r="B39">
        <v>33</v>
      </c>
      <c r="C39" t="s">
        <v>20</v>
      </c>
      <c r="D39" t="s">
        <v>231</v>
      </c>
      <c r="E39" t="s">
        <v>44</v>
      </c>
      <c r="F39" t="s">
        <v>220</v>
      </c>
      <c r="G39" t="s">
        <v>232</v>
      </c>
      <c r="I39" t="s">
        <v>233</v>
      </c>
      <c r="J39" t="s">
        <v>234</v>
      </c>
      <c r="N39" t="s">
        <v>235</v>
      </c>
      <c r="O39" t="s">
        <v>236</v>
      </c>
      <c r="Q39" t="s">
        <v>237</v>
      </c>
      <c r="S39" t="s">
        <v>421</v>
      </c>
      <c r="T39" t="s">
        <v>422</v>
      </c>
    </row>
    <row r="40" spans="1:20" x14ac:dyDescent="0.2">
      <c r="A40" s="8">
        <v>319810053</v>
      </c>
      <c r="B40">
        <v>13</v>
      </c>
      <c r="C40" t="s">
        <v>30</v>
      </c>
      <c r="D40" t="s">
        <v>238</v>
      </c>
      <c r="E40" t="s">
        <v>22</v>
      </c>
      <c r="F40" t="s">
        <v>215</v>
      </c>
      <c r="M40" t="s">
        <v>239</v>
      </c>
      <c r="O40" t="s">
        <v>240</v>
      </c>
      <c r="Q40" t="s">
        <v>241</v>
      </c>
      <c r="S40" t="s">
        <v>421</v>
      </c>
    </row>
    <row r="41" spans="1:20" x14ac:dyDescent="0.2">
      <c r="A41" s="8">
        <v>341210634</v>
      </c>
      <c r="B41">
        <v>17</v>
      </c>
      <c r="C41" t="s">
        <v>30</v>
      </c>
      <c r="D41" t="s">
        <v>242</v>
      </c>
      <c r="E41" t="s">
        <v>44</v>
      </c>
      <c r="F41" t="s">
        <v>220</v>
      </c>
      <c r="J41" t="s">
        <v>243</v>
      </c>
      <c r="O41" t="s">
        <v>244</v>
      </c>
      <c r="Q41" t="s">
        <v>245</v>
      </c>
      <c r="S41" t="s">
        <v>421</v>
      </c>
      <c r="T41" t="s">
        <v>433</v>
      </c>
    </row>
    <row r="42" spans="1:20" x14ac:dyDescent="0.2">
      <c r="A42" s="8">
        <v>362110891</v>
      </c>
      <c r="B42">
        <v>40</v>
      </c>
      <c r="C42" t="s">
        <v>30</v>
      </c>
      <c r="D42" t="s">
        <v>246</v>
      </c>
      <c r="F42" t="s">
        <v>220</v>
      </c>
      <c r="G42" t="s">
        <v>247</v>
      </c>
      <c r="I42" t="s">
        <v>248</v>
      </c>
      <c r="J42" t="s">
        <v>249</v>
      </c>
      <c r="O42" t="s">
        <v>250</v>
      </c>
      <c r="Q42" t="s">
        <v>251</v>
      </c>
      <c r="S42" t="s">
        <v>426</v>
      </c>
      <c r="T42" t="s">
        <v>435</v>
      </c>
    </row>
    <row r="43" spans="1:20" x14ac:dyDescent="0.2">
      <c r="A43" s="8">
        <v>370010311</v>
      </c>
      <c r="B43">
        <v>79</v>
      </c>
      <c r="C43" t="s">
        <v>30</v>
      </c>
      <c r="D43" t="s">
        <v>252</v>
      </c>
      <c r="E43" t="s">
        <v>44</v>
      </c>
      <c r="F43" t="s">
        <v>220</v>
      </c>
      <c r="J43" t="s">
        <v>253</v>
      </c>
      <c r="S43" t="s">
        <v>424</v>
      </c>
    </row>
    <row r="44" spans="1:20" x14ac:dyDescent="0.2">
      <c r="A44" s="8">
        <v>461910966</v>
      </c>
      <c r="B44">
        <v>31</v>
      </c>
      <c r="C44" t="s">
        <v>30</v>
      </c>
      <c r="D44" t="s">
        <v>254</v>
      </c>
      <c r="E44" t="s">
        <v>44</v>
      </c>
      <c r="F44" t="s">
        <v>220</v>
      </c>
      <c r="Q44" t="s">
        <v>255</v>
      </c>
      <c r="S44" t="s">
        <v>424</v>
      </c>
    </row>
    <row r="45" spans="1:20" x14ac:dyDescent="0.2">
      <c r="A45" s="8">
        <v>515410701</v>
      </c>
      <c r="B45">
        <v>58</v>
      </c>
      <c r="C45" t="s">
        <v>20</v>
      </c>
      <c r="D45" t="s">
        <v>256</v>
      </c>
      <c r="E45" t="s">
        <v>44</v>
      </c>
      <c r="F45" t="s">
        <v>257</v>
      </c>
      <c r="J45" t="s">
        <v>258</v>
      </c>
      <c r="N45" t="s">
        <v>259</v>
      </c>
      <c r="O45" t="s">
        <v>260</v>
      </c>
      <c r="Q45" t="s">
        <v>261</v>
      </c>
      <c r="S45" t="s">
        <v>426</v>
      </c>
      <c r="T45" t="s">
        <v>435</v>
      </c>
    </row>
    <row r="46" spans="1:20" x14ac:dyDescent="0.2">
      <c r="A46" s="8">
        <v>603810956</v>
      </c>
      <c r="B46">
        <v>18</v>
      </c>
      <c r="C46" t="s">
        <v>20</v>
      </c>
      <c r="D46" t="s">
        <v>262</v>
      </c>
      <c r="E46" t="s">
        <v>44</v>
      </c>
      <c r="F46" t="s">
        <v>220</v>
      </c>
      <c r="J46" t="s">
        <v>263</v>
      </c>
      <c r="S46" t="s">
        <v>424</v>
      </c>
      <c r="T46" t="s">
        <v>435</v>
      </c>
    </row>
    <row r="47" spans="1:20" x14ac:dyDescent="0.2">
      <c r="A47" s="8">
        <v>689210365</v>
      </c>
      <c r="B47">
        <v>71</v>
      </c>
      <c r="C47" t="s">
        <v>30</v>
      </c>
      <c r="D47" t="s">
        <v>264</v>
      </c>
      <c r="E47" t="s">
        <v>22</v>
      </c>
      <c r="F47" t="s">
        <v>215</v>
      </c>
      <c r="G47" t="s">
        <v>265</v>
      </c>
      <c r="J47" t="s">
        <v>266</v>
      </c>
      <c r="M47" t="s">
        <v>267</v>
      </c>
      <c r="O47" t="s">
        <v>268</v>
      </c>
      <c r="Q47" t="s">
        <v>269</v>
      </c>
      <c r="S47" t="s">
        <v>426</v>
      </c>
      <c r="T47" t="s">
        <v>436</v>
      </c>
    </row>
    <row r="48" spans="1:20" x14ac:dyDescent="0.2">
      <c r="A48" s="8">
        <v>726310128</v>
      </c>
      <c r="B48">
        <v>17</v>
      </c>
      <c r="C48" t="s">
        <v>20</v>
      </c>
      <c r="D48" t="s">
        <v>270</v>
      </c>
      <c r="E48" t="s">
        <v>44</v>
      </c>
      <c r="F48" t="s">
        <v>220</v>
      </c>
      <c r="M48" t="s">
        <v>271</v>
      </c>
      <c r="Q48" t="s">
        <v>272</v>
      </c>
      <c r="S48" t="s">
        <v>424</v>
      </c>
    </row>
    <row r="49" spans="1:20" x14ac:dyDescent="0.2">
      <c r="A49" s="8">
        <v>740710960</v>
      </c>
      <c r="B49">
        <v>12</v>
      </c>
      <c r="C49" t="s">
        <v>20</v>
      </c>
      <c r="D49" t="s">
        <v>273</v>
      </c>
      <c r="E49" t="s">
        <v>44</v>
      </c>
      <c r="F49" t="s">
        <v>220</v>
      </c>
      <c r="M49" t="s">
        <v>274</v>
      </c>
      <c r="O49" t="s">
        <v>275</v>
      </c>
      <c r="Q49" t="s">
        <v>276</v>
      </c>
      <c r="S49" t="s">
        <v>421</v>
      </c>
    </row>
    <row r="50" spans="1:20" x14ac:dyDescent="0.2">
      <c r="A50" s="8">
        <v>741610129</v>
      </c>
      <c r="B50">
        <v>24</v>
      </c>
      <c r="C50" t="s">
        <v>30</v>
      </c>
      <c r="D50" t="s">
        <v>277</v>
      </c>
      <c r="E50" t="s">
        <v>44</v>
      </c>
      <c r="F50" t="s">
        <v>220</v>
      </c>
      <c r="G50" t="s">
        <v>278</v>
      </c>
      <c r="J50" t="s">
        <v>279</v>
      </c>
      <c r="M50" t="s">
        <v>280</v>
      </c>
      <c r="O50" t="s">
        <v>281</v>
      </c>
      <c r="Q50" t="s">
        <v>282</v>
      </c>
      <c r="S50" t="s">
        <v>421</v>
      </c>
    </row>
    <row r="51" spans="1:20" x14ac:dyDescent="0.2">
      <c r="A51" s="8">
        <v>795410971</v>
      </c>
      <c r="B51">
        <v>2</v>
      </c>
      <c r="C51" t="s">
        <v>20</v>
      </c>
      <c r="D51" t="s">
        <v>283</v>
      </c>
      <c r="E51" t="s">
        <v>44</v>
      </c>
      <c r="F51" t="s">
        <v>220</v>
      </c>
      <c r="M51" t="s">
        <v>284</v>
      </c>
      <c r="S51" t="s">
        <v>424</v>
      </c>
      <c r="T51" t="s">
        <v>437</v>
      </c>
    </row>
    <row r="52" spans="1:20" x14ac:dyDescent="0.2">
      <c r="A52" s="8">
        <v>818210372</v>
      </c>
      <c r="B52">
        <v>57</v>
      </c>
      <c r="C52" t="s">
        <v>30</v>
      </c>
      <c r="D52" t="s">
        <v>285</v>
      </c>
      <c r="E52" t="s">
        <v>44</v>
      </c>
      <c r="F52" t="s">
        <v>220</v>
      </c>
      <c r="J52" t="s">
        <v>286</v>
      </c>
      <c r="M52" t="s">
        <v>287</v>
      </c>
      <c r="Q52" t="s">
        <v>288</v>
      </c>
      <c r="S52" t="s">
        <v>424</v>
      </c>
    </row>
    <row r="53" spans="1:20" x14ac:dyDescent="0.2">
      <c r="A53" s="8">
        <v>826210737</v>
      </c>
      <c r="B53">
        <v>3</v>
      </c>
      <c r="C53" t="s">
        <v>20</v>
      </c>
      <c r="D53" t="s">
        <v>289</v>
      </c>
      <c r="E53" t="s">
        <v>44</v>
      </c>
      <c r="F53" t="s">
        <v>220</v>
      </c>
      <c r="Q53" t="s">
        <v>290</v>
      </c>
      <c r="S53" t="s">
        <v>424</v>
      </c>
      <c r="T53" t="s">
        <v>438</v>
      </c>
    </row>
    <row r="54" spans="1:20" x14ac:dyDescent="0.2">
      <c r="A54" s="8">
        <v>870510178</v>
      </c>
      <c r="B54">
        <v>60</v>
      </c>
      <c r="C54" t="s">
        <v>30</v>
      </c>
      <c r="D54" t="s">
        <v>291</v>
      </c>
      <c r="E54" t="s">
        <v>22</v>
      </c>
      <c r="F54" t="s">
        <v>220</v>
      </c>
      <c r="N54" t="s">
        <v>292</v>
      </c>
      <c r="O54" t="s">
        <v>293</v>
      </c>
      <c r="Q54" t="s">
        <v>294</v>
      </c>
      <c r="S54" t="s">
        <v>421</v>
      </c>
    </row>
    <row r="55" spans="1:20" x14ac:dyDescent="0.2">
      <c r="A55" s="8">
        <v>888710791</v>
      </c>
      <c r="B55">
        <v>12</v>
      </c>
      <c r="C55" t="s">
        <v>20</v>
      </c>
      <c r="D55" t="s">
        <v>295</v>
      </c>
      <c r="E55" t="s">
        <v>22</v>
      </c>
      <c r="F55" t="s">
        <v>220</v>
      </c>
      <c r="M55" t="s">
        <v>296</v>
      </c>
      <c r="Q55" t="s">
        <v>297</v>
      </c>
      <c r="S55" t="s">
        <v>424</v>
      </c>
    </row>
    <row r="56" spans="1:20" x14ac:dyDescent="0.2">
      <c r="A56" s="8">
        <v>932610840</v>
      </c>
      <c r="B56">
        <v>13</v>
      </c>
      <c r="C56" t="s">
        <v>20</v>
      </c>
      <c r="D56" t="s">
        <v>298</v>
      </c>
      <c r="E56" t="s">
        <v>44</v>
      </c>
      <c r="F56" t="s">
        <v>220</v>
      </c>
      <c r="G56" t="s">
        <v>299</v>
      </c>
      <c r="M56" t="s">
        <v>300</v>
      </c>
      <c r="N56" t="s">
        <v>299</v>
      </c>
      <c r="Q56" t="s">
        <v>301</v>
      </c>
      <c r="S56" t="s">
        <v>439</v>
      </c>
    </row>
    <row r="57" spans="1:20" x14ac:dyDescent="0.2">
      <c r="A57" s="8">
        <v>954410764</v>
      </c>
      <c r="B57">
        <v>19</v>
      </c>
      <c r="C57" t="s">
        <v>20</v>
      </c>
      <c r="D57" t="s">
        <v>302</v>
      </c>
      <c r="E57" t="s">
        <v>22</v>
      </c>
      <c r="F57" t="s">
        <v>220</v>
      </c>
      <c r="M57" t="s">
        <v>303</v>
      </c>
      <c r="Q57" t="s">
        <v>304</v>
      </c>
      <c r="S57" t="s">
        <v>424</v>
      </c>
    </row>
    <row r="58" spans="1:20" x14ac:dyDescent="0.2">
      <c r="A58" s="8">
        <v>959010761</v>
      </c>
      <c r="B58">
        <v>9</v>
      </c>
      <c r="C58" t="s">
        <v>20</v>
      </c>
      <c r="D58" t="s">
        <v>305</v>
      </c>
      <c r="E58" t="s">
        <v>44</v>
      </c>
      <c r="F58" t="s">
        <v>220</v>
      </c>
      <c r="G58" t="s">
        <v>306</v>
      </c>
      <c r="O58" t="s">
        <v>307</v>
      </c>
      <c r="Q58" t="s">
        <v>308</v>
      </c>
      <c r="S58" t="s">
        <v>421</v>
      </c>
    </row>
    <row r="59" spans="1:20" x14ac:dyDescent="0.2">
      <c r="A59" s="8">
        <v>1084310679</v>
      </c>
      <c r="B59">
        <v>14</v>
      </c>
      <c r="C59" t="s">
        <v>30</v>
      </c>
      <c r="D59" t="s">
        <v>309</v>
      </c>
      <c r="E59" t="s">
        <v>44</v>
      </c>
      <c r="F59" t="s">
        <v>220</v>
      </c>
      <c r="N59" t="s">
        <v>310</v>
      </c>
      <c r="Q59" t="s">
        <v>311</v>
      </c>
      <c r="S59" t="s">
        <v>421</v>
      </c>
    </row>
    <row r="60" spans="1:20" x14ac:dyDescent="0.2">
      <c r="A60" s="8">
        <v>1084510775</v>
      </c>
      <c r="B60">
        <v>14</v>
      </c>
      <c r="C60" t="s">
        <v>20</v>
      </c>
      <c r="D60" t="s">
        <v>312</v>
      </c>
      <c r="E60" t="s">
        <v>44</v>
      </c>
      <c r="F60" t="s">
        <v>220</v>
      </c>
      <c r="G60" t="s">
        <v>313</v>
      </c>
      <c r="J60" t="s">
        <v>314</v>
      </c>
      <c r="M60" t="s">
        <v>315</v>
      </c>
      <c r="O60" t="s">
        <v>316</v>
      </c>
      <c r="Q60" t="s">
        <v>317</v>
      </c>
      <c r="S60" t="s">
        <v>421</v>
      </c>
    </row>
    <row r="61" spans="1:20" x14ac:dyDescent="0.2">
      <c r="A61" s="8">
        <v>1086910999</v>
      </c>
      <c r="B61">
        <v>27</v>
      </c>
      <c r="C61" t="s">
        <v>30</v>
      </c>
      <c r="D61" t="s">
        <v>318</v>
      </c>
      <c r="E61" t="s">
        <v>44</v>
      </c>
      <c r="F61" t="s">
        <v>220</v>
      </c>
      <c r="M61" t="s">
        <v>319</v>
      </c>
      <c r="Q61" t="s">
        <v>320</v>
      </c>
      <c r="S61" t="s">
        <v>424</v>
      </c>
    </row>
    <row r="62" spans="1:20" x14ac:dyDescent="0.2">
      <c r="A62" s="8">
        <v>1377210629</v>
      </c>
      <c r="B62">
        <v>50</v>
      </c>
      <c r="C62" t="s">
        <v>20</v>
      </c>
      <c r="D62" t="s">
        <v>321</v>
      </c>
      <c r="E62" t="s">
        <v>44</v>
      </c>
      <c r="F62" t="s">
        <v>220</v>
      </c>
      <c r="G62" t="s">
        <v>322</v>
      </c>
      <c r="M62" t="s">
        <v>323</v>
      </c>
      <c r="Q62" t="s">
        <v>324</v>
      </c>
      <c r="S62" t="s">
        <v>424</v>
      </c>
    </row>
    <row r="63" spans="1:20" x14ac:dyDescent="0.2">
      <c r="A63" s="8">
        <v>1559910397</v>
      </c>
      <c r="B63">
        <v>13</v>
      </c>
      <c r="C63" t="s">
        <v>30</v>
      </c>
      <c r="D63" t="s">
        <v>325</v>
      </c>
      <c r="E63" t="s">
        <v>22</v>
      </c>
      <c r="F63" t="s">
        <v>220</v>
      </c>
      <c r="J63" t="s">
        <v>326</v>
      </c>
      <c r="M63" t="s">
        <v>327</v>
      </c>
      <c r="O63" t="s">
        <v>328</v>
      </c>
      <c r="Q63" t="s">
        <v>329</v>
      </c>
      <c r="S63" t="s">
        <v>424</v>
      </c>
    </row>
    <row r="64" spans="1:20" x14ac:dyDescent="0.2">
      <c r="A64" s="8">
        <v>1602410226</v>
      </c>
      <c r="B64">
        <v>27</v>
      </c>
      <c r="C64" t="s">
        <v>20</v>
      </c>
      <c r="D64" t="s">
        <v>330</v>
      </c>
      <c r="E64" t="s">
        <v>44</v>
      </c>
      <c r="F64" t="s">
        <v>220</v>
      </c>
      <c r="J64" t="s">
        <v>331</v>
      </c>
      <c r="M64" t="s">
        <v>332</v>
      </c>
      <c r="Q64" t="s">
        <v>333</v>
      </c>
      <c r="S64" t="s">
        <v>424</v>
      </c>
    </row>
    <row r="65" spans="1:20" x14ac:dyDescent="0.2">
      <c r="A65" s="8">
        <v>1620610573</v>
      </c>
      <c r="B65">
        <v>63</v>
      </c>
      <c r="C65" t="s">
        <v>20</v>
      </c>
      <c r="D65" t="s">
        <v>334</v>
      </c>
      <c r="E65" t="s">
        <v>44</v>
      </c>
      <c r="F65" t="s">
        <v>220</v>
      </c>
      <c r="G65" t="s">
        <v>335</v>
      </c>
      <c r="J65" t="s">
        <v>336</v>
      </c>
      <c r="Q65" t="s">
        <v>337</v>
      </c>
      <c r="S65" t="s">
        <v>421</v>
      </c>
    </row>
    <row r="66" spans="1:20" x14ac:dyDescent="0.2">
      <c r="A66" s="8">
        <v>1675410922</v>
      </c>
      <c r="B66">
        <v>31</v>
      </c>
      <c r="C66" t="s">
        <v>30</v>
      </c>
      <c r="D66" t="s">
        <v>338</v>
      </c>
      <c r="E66" t="s">
        <v>44</v>
      </c>
      <c r="F66" t="s">
        <v>220</v>
      </c>
      <c r="M66" t="s">
        <v>339</v>
      </c>
      <c r="Q66" t="s">
        <v>340</v>
      </c>
      <c r="S66" t="s">
        <v>424</v>
      </c>
    </row>
    <row r="67" spans="1:20" x14ac:dyDescent="0.2">
      <c r="A67" s="8">
        <v>1759410412</v>
      </c>
      <c r="B67">
        <v>68</v>
      </c>
      <c r="C67" t="s">
        <v>20</v>
      </c>
      <c r="D67" t="s">
        <v>341</v>
      </c>
      <c r="E67" t="s">
        <v>44</v>
      </c>
      <c r="F67" t="s">
        <v>220</v>
      </c>
      <c r="G67" t="s">
        <v>342</v>
      </c>
      <c r="N67" t="s">
        <v>342</v>
      </c>
      <c r="O67" t="s">
        <v>343</v>
      </c>
      <c r="Q67" t="s">
        <v>344</v>
      </c>
      <c r="S67" t="s">
        <v>421</v>
      </c>
    </row>
    <row r="68" spans="1:20" x14ac:dyDescent="0.2">
      <c r="A68" s="8">
        <v>1833510766</v>
      </c>
      <c r="B68">
        <v>4</v>
      </c>
      <c r="C68" t="s">
        <v>20</v>
      </c>
      <c r="D68" t="s">
        <v>345</v>
      </c>
      <c r="E68" t="s">
        <v>44</v>
      </c>
      <c r="F68" t="s">
        <v>220</v>
      </c>
      <c r="M68" t="s">
        <v>346</v>
      </c>
      <c r="O68" t="s">
        <v>347</v>
      </c>
      <c r="Q68" t="s">
        <v>348</v>
      </c>
      <c r="S68" t="s">
        <v>421</v>
      </c>
    </row>
    <row r="69" spans="1:20" x14ac:dyDescent="0.2">
      <c r="A69" s="8">
        <v>2079410115</v>
      </c>
      <c r="B69">
        <v>48</v>
      </c>
      <c r="C69" t="s">
        <v>20</v>
      </c>
      <c r="D69" t="s">
        <v>349</v>
      </c>
      <c r="E69" t="s">
        <v>22</v>
      </c>
      <c r="F69" t="s">
        <v>215</v>
      </c>
      <c r="M69" t="s">
        <v>350</v>
      </c>
      <c r="O69" t="s">
        <v>351</v>
      </c>
      <c r="Q69" t="s">
        <v>352</v>
      </c>
      <c r="S69" t="s">
        <v>424</v>
      </c>
    </row>
    <row r="70" spans="1:20" x14ac:dyDescent="0.2">
      <c r="A70" s="8">
        <v>2134710591</v>
      </c>
      <c r="B70">
        <v>41</v>
      </c>
      <c r="C70" t="s">
        <v>20</v>
      </c>
      <c r="D70" t="s">
        <v>353</v>
      </c>
      <c r="E70" t="s">
        <v>44</v>
      </c>
      <c r="F70" t="s">
        <v>220</v>
      </c>
      <c r="G70" t="s">
        <v>354</v>
      </c>
      <c r="Q70" t="s">
        <v>355</v>
      </c>
      <c r="S70" t="s">
        <v>424</v>
      </c>
    </row>
    <row r="71" spans="1:20" x14ac:dyDescent="0.2">
      <c r="A71" s="8">
        <v>2335110194</v>
      </c>
      <c r="B71">
        <v>56</v>
      </c>
      <c r="C71" t="s">
        <v>30</v>
      </c>
      <c r="D71" t="s">
        <v>356</v>
      </c>
      <c r="E71" t="s">
        <v>22</v>
      </c>
      <c r="F71" t="s">
        <v>220</v>
      </c>
      <c r="G71" t="s">
        <v>357</v>
      </c>
      <c r="I71" t="s">
        <v>358</v>
      </c>
      <c r="J71" t="s">
        <v>359</v>
      </c>
      <c r="M71" t="s">
        <v>360</v>
      </c>
      <c r="O71" t="s">
        <v>361</v>
      </c>
      <c r="Q71" t="s">
        <v>362</v>
      </c>
      <c r="S71" t="s">
        <v>426</v>
      </c>
    </row>
    <row r="72" spans="1:20" x14ac:dyDescent="0.2">
      <c r="A72" s="8">
        <v>2482010040</v>
      </c>
      <c r="B72">
        <v>39</v>
      </c>
      <c r="C72" t="s">
        <v>30</v>
      </c>
      <c r="D72" t="s">
        <v>363</v>
      </c>
      <c r="E72" t="s">
        <v>44</v>
      </c>
      <c r="F72" t="s">
        <v>220</v>
      </c>
      <c r="G72" t="s">
        <v>364</v>
      </c>
      <c r="J72" t="s">
        <v>365</v>
      </c>
      <c r="M72" t="s">
        <v>366</v>
      </c>
      <c r="N72" t="s">
        <v>367</v>
      </c>
      <c r="Q72" t="s">
        <v>368</v>
      </c>
      <c r="S72" t="s">
        <v>424</v>
      </c>
    </row>
    <row r="73" spans="1:20" x14ac:dyDescent="0.2">
      <c r="A73" s="8">
        <v>2489610789</v>
      </c>
      <c r="B73">
        <v>21</v>
      </c>
      <c r="C73" t="s">
        <v>20</v>
      </c>
      <c r="D73" t="s">
        <v>369</v>
      </c>
      <c r="E73" t="s">
        <v>22</v>
      </c>
      <c r="F73" t="s">
        <v>220</v>
      </c>
      <c r="O73" t="s">
        <v>370</v>
      </c>
      <c r="Q73" t="s">
        <v>371</v>
      </c>
      <c r="S73" t="s">
        <v>424</v>
      </c>
    </row>
    <row r="74" spans="1:20" x14ac:dyDescent="0.2">
      <c r="A74" s="8">
        <v>2615910492</v>
      </c>
      <c r="B74">
        <v>29</v>
      </c>
      <c r="C74" t="s">
        <v>30</v>
      </c>
      <c r="D74" t="s">
        <v>372</v>
      </c>
      <c r="E74" t="s">
        <v>44</v>
      </c>
      <c r="F74" t="s">
        <v>220</v>
      </c>
      <c r="N74" t="s">
        <v>373</v>
      </c>
      <c r="O74" t="s">
        <v>374</v>
      </c>
      <c r="Q74" t="s">
        <v>375</v>
      </c>
      <c r="S74" t="s">
        <v>421</v>
      </c>
    </row>
    <row r="75" spans="1:20" x14ac:dyDescent="0.2">
      <c r="A75" s="8">
        <v>2723810058</v>
      </c>
      <c r="B75">
        <v>72</v>
      </c>
      <c r="C75" t="s">
        <v>30</v>
      </c>
      <c r="D75" t="s">
        <v>376</v>
      </c>
      <c r="E75" t="s">
        <v>44</v>
      </c>
      <c r="F75" t="s">
        <v>220</v>
      </c>
      <c r="G75" t="s">
        <v>377</v>
      </c>
      <c r="I75" t="s">
        <v>378</v>
      </c>
      <c r="J75" t="s">
        <v>379</v>
      </c>
      <c r="Q75" t="s">
        <v>380</v>
      </c>
      <c r="S75" t="s">
        <v>440</v>
      </c>
    </row>
    <row r="76" spans="1:20" x14ac:dyDescent="0.2">
      <c r="A76" s="8">
        <v>2850010979</v>
      </c>
      <c r="B76">
        <v>2</v>
      </c>
      <c r="C76" t="s">
        <v>30</v>
      </c>
      <c r="D76" t="s">
        <v>381</v>
      </c>
      <c r="E76" t="s">
        <v>44</v>
      </c>
      <c r="F76" t="s">
        <v>220</v>
      </c>
      <c r="M76" t="s">
        <v>382</v>
      </c>
      <c r="Q76" t="s">
        <v>383</v>
      </c>
      <c r="S76" t="s">
        <v>424</v>
      </c>
      <c r="T76" t="s">
        <v>437</v>
      </c>
    </row>
    <row r="77" spans="1:20" x14ac:dyDescent="0.2">
      <c r="A77" s="8">
        <v>2946010373</v>
      </c>
      <c r="B77">
        <v>31</v>
      </c>
      <c r="C77" t="s">
        <v>30</v>
      </c>
      <c r="D77" t="s">
        <v>384</v>
      </c>
      <c r="E77" t="s">
        <v>22</v>
      </c>
      <c r="F77" t="s">
        <v>220</v>
      </c>
      <c r="J77" t="s">
        <v>385</v>
      </c>
      <c r="O77" t="s">
        <v>386</v>
      </c>
      <c r="Q77" t="s">
        <v>387</v>
      </c>
      <c r="S77" t="s">
        <v>421</v>
      </c>
    </row>
    <row r="78" spans="1:20" x14ac:dyDescent="0.2">
      <c r="A78" s="8">
        <v>3181110734</v>
      </c>
      <c r="B78">
        <v>21</v>
      </c>
      <c r="C78" t="s">
        <v>30</v>
      </c>
      <c r="D78" t="s">
        <v>388</v>
      </c>
      <c r="E78" t="s">
        <v>44</v>
      </c>
      <c r="F78" t="s">
        <v>220</v>
      </c>
      <c r="Q78" t="s">
        <v>389</v>
      </c>
      <c r="S78" t="s">
        <v>424</v>
      </c>
    </row>
    <row r="79" spans="1:20" x14ac:dyDescent="0.2">
      <c r="A79" s="8">
        <v>3212210166</v>
      </c>
      <c r="B79">
        <v>39</v>
      </c>
      <c r="C79" t="s">
        <v>30</v>
      </c>
      <c r="D79" t="s">
        <v>390</v>
      </c>
      <c r="E79" t="s">
        <v>44</v>
      </c>
      <c r="F79" t="s">
        <v>220</v>
      </c>
      <c r="O79" t="s">
        <v>391</v>
      </c>
      <c r="Q79" t="s">
        <v>392</v>
      </c>
      <c r="S79" t="s">
        <v>421</v>
      </c>
    </row>
    <row r="80" spans="1:20" x14ac:dyDescent="0.2">
      <c r="A80" s="8">
        <v>3266510164</v>
      </c>
      <c r="B80">
        <v>60</v>
      </c>
      <c r="C80" t="s">
        <v>30</v>
      </c>
      <c r="D80" t="s">
        <v>393</v>
      </c>
      <c r="E80" t="s">
        <v>44</v>
      </c>
      <c r="F80" t="s">
        <v>220</v>
      </c>
      <c r="G80" t="s">
        <v>394</v>
      </c>
      <c r="J80" t="s">
        <v>395</v>
      </c>
      <c r="M80" t="s">
        <v>396</v>
      </c>
      <c r="N80" t="s">
        <v>394</v>
      </c>
      <c r="O80" t="s">
        <v>397</v>
      </c>
      <c r="Q80" t="s">
        <v>398</v>
      </c>
      <c r="S80" t="s">
        <v>421</v>
      </c>
    </row>
    <row r="81" spans="1:20" x14ac:dyDescent="0.2">
      <c r="A81" s="8">
        <v>3354710424</v>
      </c>
      <c r="B81">
        <v>24</v>
      </c>
      <c r="C81" t="s">
        <v>30</v>
      </c>
      <c r="D81" t="s">
        <v>399</v>
      </c>
      <c r="E81" t="s">
        <v>22</v>
      </c>
      <c r="F81" t="s">
        <v>220</v>
      </c>
      <c r="O81" t="s">
        <v>400</v>
      </c>
      <c r="Q81" t="s">
        <v>401</v>
      </c>
      <c r="S81" t="s">
        <v>424</v>
      </c>
    </row>
    <row r="82" spans="1:20" x14ac:dyDescent="0.2">
      <c r="A82" s="8">
        <v>9461110544</v>
      </c>
      <c r="B82">
        <v>3</v>
      </c>
      <c r="C82" t="s">
        <v>20</v>
      </c>
      <c r="D82" t="s">
        <v>402</v>
      </c>
      <c r="E82" t="s">
        <v>44</v>
      </c>
      <c r="F82" t="s">
        <v>220</v>
      </c>
      <c r="Q82" t="s">
        <v>403</v>
      </c>
      <c r="S82" t="s">
        <v>424</v>
      </c>
      <c r="T82" t="s">
        <v>438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402D-3CB7-BD43-8115-B30D61BDA9B3}">
  <dimension ref="A1:T82"/>
  <sheetViews>
    <sheetView workbookViewId="0"/>
  </sheetViews>
  <sheetFormatPr baseColWidth="10" defaultColWidth="8.83203125" defaultRowHeight="15" x14ac:dyDescent="0.2"/>
  <cols>
    <col min="1" max="16384" width="8.83203125" style="2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B2" s="2">
        <v>7810823</v>
      </c>
      <c r="C2" s="2">
        <v>53</v>
      </c>
      <c r="D2" s="2" t="s">
        <v>20</v>
      </c>
      <c r="E2" s="2" t="s">
        <v>21</v>
      </c>
      <c r="F2" s="2" t="s">
        <v>22</v>
      </c>
      <c r="G2" s="2" t="s">
        <v>23</v>
      </c>
      <c r="J2" s="2" t="s">
        <v>24</v>
      </c>
      <c r="K2" s="2" t="s">
        <v>25</v>
      </c>
      <c r="N2" s="2" t="s">
        <v>26</v>
      </c>
      <c r="P2" s="2" t="s">
        <v>27</v>
      </c>
      <c r="R2" s="2" t="s">
        <v>28</v>
      </c>
      <c r="T2" s="2" t="s">
        <v>29</v>
      </c>
    </row>
    <row r="3" spans="1:20" x14ac:dyDescent="0.2">
      <c r="B3" s="2">
        <v>2352010389</v>
      </c>
      <c r="C3" s="2">
        <v>20</v>
      </c>
      <c r="D3" s="2" t="s">
        <v>30</v>
      </c>
      <c r="E3" s="2" t="s">
        <v>31</v>
      </c>
      <c r="G3" s="2" t="s">
        <v>32</v>
      </c>
      <c r="H3" s="2" t="s">
        <v>33</v>
      </c>
      <c r="J3" s="2" t="s">
        <v>34</v>
      </c>
      <c r="N3" s="2" t="s">
        <v>35</v>
      </c>
      <c r="R3" s="2" t="s">
        <v>36</v>
      </c>
      <c r="T3" s="2" t="s">
        <v>29</v>
      </c>
    </row>
    <row r="4" spans="1:20" x14ac:dyDescent="0.2">
      <c r="B4" s="2">
        <v>244010017</v>
      </c>
      <c r="C4" s="2">
        <v>17</v>
      </c>
      <c r="D4" s="2" t="s">
        <v>20</v>
      </c>
      <c r="E4" s="2" t="s">
        <v>37</v>
      </c>
      <c r="G4" s="2" t="s">
        <v>38</v>
      </c>
      <c r="J4" s="2" t="s">
        <v>39</v>
      </c>
      <c r="K4" s="2" t="s">
        <v>40</v>
      </c>
      <c r="P4" s="2" t="s">
        <v>41</v>
      </c>
      <c r="R4" s="2" t="s">
        <v>42</v>
      </c>
      <c r="T4" s="2" t="s">
        <v>29</v>
      </c>
    </row>
    <row r="5" spans="1:20" x14ac:dyDescent="0.2">
      <c r="B5" s="2">
        <v>5359010662</v>
      </c>
      <c r="C5" s="2">
        <v>51</v>
      </c>
      <c r="D5" s="2" t="s">
        <v>30</v>
      </c>
      <c r="E5" s="2" t="s">
        <v>43</v>
      </c>
      <c r="F5" s="2" t="s">
        <v>44</v>
      </c>
      <c r="G5" s="2" t="s">
        <v>45</v>
      </c>
      <c r="N5" s="2" t="s">
        <v>46</v>
      </c>
      <c r="R5" s="2" t="s">
        <v>47</v>
      </c>
      <c r="T5" s="2" t="s">
        <v>29</v>
      </c>
    </row>
    <row r="6" spans="1:20" x14ac:dyDescent="0.2">
      <c r="B6" s="2">
        <v>261610479</v>
      </c>
      <c r="C6" s="2">
        <v>39</v>
      </c>
      <c r="D6" s="2" t="s">
        <v>20</v>
      </c>
      <c r="E6" s="2" t="s">
        <v>48</v>
      </c>
      <c r="G6" s="2" t="s">
        <v>49</v>
      </c>
      <c r="H6" s="2" t="s">
        <v>50</v>
      </c>
      <c r="J6" s="2" t="s">
        <v>51</v>
      </c>
      <c r="K6" s="2" t="s">
        <v>52</v>
      </c>
      <c r="N6" s="2" t="s">
        <v>53</v>
      </c>
      <c r="R6" s="2" t="s">
        <v>54</v>
      </c>
      <c r="T6" s="2" t="s">
        <v>29</v>
      </c>
    </row>
    <row r="7" spans="1:20" x14ac:dyDescent="0.2">
      <c r="B7" s="2">
        <v>378410775</v>
      </c>
      <c r="C7" s="2">
        <v>34</v>
      </c>
      <c r="D7" s="2" t="s">
        <v>30</v>
      </c>
      <c r="E7" s="2" t="s">
        <v>55</v>
      </c>
      <c r="G7" s="2" t="s">
        <v>56</v>
      </c>
      <c r="H7" s="2" t="s">
        <v>57</v>
      </c>
      <c r="J7" s="2" t="s">
        <v>58</v>
      </c>
      <c r="K7" s="2" t="s">
        <v>59</v>
      </c>
      <c r="N7" s="2" t="s">
        <v>60</v>
      </c>
      <c r="O7" s="2" t="s">
        <v>57</v>
      </c>
      <c r="P7" s="2" t="s">
        <v>61</v>
      </c>
      <c r="R7" s="2" t="s">
        <v>62</v>
      </c>
      <c r="T7" s="2" t="s">
        <v>63</v>
      </c>
    </row>
    <row r="8" spans="1:20" x14ac:dyDescent="0.2">
      <c r="B8" s="2">
        <v>1502010397</v>
      </c>
      <c r="C8" s="2">
        <v>16</v>
      </c>
      <c r="D8" s="2" t="s">
        <v>30</v>
      </c>
      <c r="E8" s="2" t="s">
        <v>64</v>
      </c>
      <c r="G8" s="2" t="s">
        <v>49</v>
      </c>
      <c r="J8" s="2" t="s">
        <v>65</v>
      </c>
      <c r="K8" s="2" t="s">
        <v>66</v>
      </c>
      <c r="R8" s="2" t="s">
        <v>67</v>
      </c>
      <c r="T8" s="2" t="s">
        <v>29</v>
      </c>
    </row>
    <row r="9" spans="1:20" x14ac:dyDescent="0.2">
      <c r="B9" s="2">
        <v>2353710622</v>
      </c>
      <c r="C9" s="2">
        <v>18</v>
      </c>
      <c r="D9" s="2" t="s">
        <v>20</v>
      </c>
      <c r="E9" s="2" t="s">
        <v>68</v>
      </c>
      <c r="G9" s="2" t="s">
        <v>49</v>
      </c>
      <c r="H9" s="2" t="s">
        <v>69</v>
      </c>
      <c r="J9" s="2" t="s">
        <v>70</v>
      </c>
      <c r="K9" s="2" t="s">
        <v>71</v>
      </c>
      <c r="N9" s="2" t="s">
        <v>72</v>
      </c>
      <c r="R9" s="2" t="s">
        <v>73</v>
      </c>
      <c r="T9" s="2" t="s">
        <v>29</v>
      </c>
    </row>
    <row r="10" spans="1:20" x14ac:dyDescent="0.2">
      <c r="B10" s="2">
        <v>1045410614</v>
      </c>
      <c r="C10" s="2">
        <v>40</v>
      </c>
      <c r="D10" s="2" t="s">
        <v>20</v>
      </c>
      <c r="E10" s="2" t="s">
        <v>74</v>
      </c>
      <c r="F10" s="2" t="s">
        <v>44</v>
      </c>
      <c r="G10" s="2" t="s">
        <v>75</v>
      </c>
      <c r="P10" s="2" t="s">
        <v>76</v>
      </c>
      <c r="R10" s="2" t="s">
        <v>77</v>
      </c>
      <c r="T10" s="2" t="s">
        <v>29</v>
      </c>
    </row>
    <row r="11" spans="1:20" x14ac:dyDescent="0.2">
      <c r="B11" s="2">
        <v>4803410866</v>
      </c>
      <c r="C11" s="2">
        <v>20</v>
      </c>
      <c r="D11" s="2" t="s">
        <v>20</v>
      </c>
      <c r="E11" s="2" t="s">
        <v>78</v>
      </c>
      <c r="F11" s="2" t="s">
        <v>44</v>
      </c>
      <c r="G11" s="2" t="s">
        <v>79</v>
      </c>
      <c r="O11" s="2" t="s">
        <v>80</v>
      </c>
      <c r="R11" s="2" t="s">
        <v>81</v>
      </c>
      <c r="T11" s="2" t="s">
        <v>63</v>
      </c>
    </row>
    <row r="12" spans="1:20" x14ac:dyDescent="0.2">
      <c r="B12" s="2">
        <v>384210994</v>
      </c>
      <c r="C12" s="2">
        <v>30</v>
      </c>
      <c r="D12" s="2" t="s">
        <v>30</v>
      </c>
      <c r="E12" s="2" t="s">
        <v>82</v>
      </c>
      <c r="F12" s="2" t="s">
        <v>44</v>
      </c>
      <c r="G12" s="2" t="s">
        <v>83</v>
      </c>
      <c r="H12" s="2" t="s">
        <v>84</v>
      </c>
      <c r="R12" s="2" t="s">
        <v>85</v>
      </c>
      <c r="T12" s="2" t="s">
        <v>29</v>
      </c>
    </row>
    <row r="13" spans="1:20" x14ac:dyDescent="0.2">
      <c r="B13" s="2">
        <v>77110497</v>
      </c>
      <c r="C13" s="2">
        <v>26</v>
      </c>
      <c r="D13" s="2" t="s">
        <v>30</v>
      </c>
      <c r="E13" s="2" t="s">
        <v>86</v>
      </c>
      <c r="G13" s="2" t="s">
        <v>87</v>
      </c>
      <c r="H13" s="2" t="s">
        <v>88</v>
      </c>
      <c r="J13" s="2" t="s">
        <v>89</v>
      </c>
      <c r="K13" s="2" t="s">
        <v>90</v>
      </c>
      <c r="T13" s="2" t="s">
        <v>29</v>
      </c>
    </row>
    <row r="14" spans="1:20" x14ac:dyDescent="0.2">
      <c r="B14" s="2">
        <v>35210409</v>
      </c>
      <c r="C14" s="2">
        <v>29</v>
      </c>
      <c r="D14" s="2" t="s">
        <v>30</v>
      </c>
      <c r="E14" s="2" t="s">
        <v>91</v>
      </c>
      <c r="G14" s="2" t="s">
        <v>92</v>
      </c>
      <c r="H14" s="2" t="s">
        <v>93</v>
      </c>
      <c r="J14" s="2" t="s">
        <v>94</v>
      </c>
      <c r="K14" s="2" t="s">
        <v>95</v>
      </c>
      <c r="P14" s="2" t="s">
        <v>96</v>
      </c>
      <c r="R14" s="2" t="s">
        <v>97</v>
      </c>
      <c r="T14" s="2" t="s">
        <v>29</v>
      </c>
    </row>
    <row r="15" spans="1:20" x14ac:dyDescent="0.2">
      <c r="B15" s="2">
        <v>153910595</v>
      </c>
      <c r="C15" s="2">
        <v>62</v>
      </c>
      <c r="D15" s="2" t="s">
        <v>30</v>
      </c>
      <c r="E15" s="2" t="s">
        <v>98</v>
      </c>
      <c r="G15" s="2" t="s">
        <v>99</v>
      </c>
      <c r="H15" s="2" t="s">
        <v>100</v>
      </c>
      <c r="J15" s="2" t="s">
        <v>101</v>
      </c>
      <c r="K15" s="2" t="s">
        <v>102</v>
      </c>
      <c r="N15" s="2" t="s">
        <v>103</v>
      </c>
      <c r="P15" s="2" t="s">
        <v>104</v>
      </c>
      <c r="R15" s="2" t="s">
        <v>105</v>
      </c>
      <c r="T15" s="2" t="s">
        <v>29</v>
      </c>
    </row>
    <row r="16" spans="1:20" x14ac:dyDescent="0.2">
      <c r="B16" s="2">
        <v>274210173</v>
      </c>
      <c r="C16" s="2">
        <v>77</v>
      </c>
      <c r="D16" s="2" t="s">
        <v>20</v>
      </c>
      <c r="E16" s="2" t="s">
        <v>106</v>
      </c>
      <c r="G16" s="2" t="s">
        <v>92</v>
      </c>
      <c r="H16" s="2" t="s">
        <v>107</v>
      </c>
      <c r="J16" s="2" t="s">
        <v>108</v>
      </c>
      <c r="K16" s="2" t="s">
        <v>109</v>
      </c>
      <c r="R16" s="2" t="s">
        <v>110</v>
      </c>
      <c r="T16" s="2" t="s">
        <v>29</v>
      </c>
    </row>
    <row r="17" spans="2:20" x14ac:dyDescent="0.2">
      <c r="B17" s="2">
        <v>436610288</v>
      </c>
      <c r="C17" s="2">
        <v>67</v>
      </c>
      <c r="D17" s="2" t="s">
        <v>20</v>
      </c>
      <c r="E17" s="2" t="s">
        <v>111</v>
      </c>
      <c r="G17" s="2" t="s">
        <v>92</v>
      </c>
      <c r="H17" s="2" t="s">
        <v>112</v>
      </c>
      <c r="J17" s="2" t="s">
        <v>113</v>
      </c>
      <c r="K17" s="2" t="s">
        <v>114</v>
      </c>
      <c r="N17" s="2" t="s">
        <v>115</v>
      </c>
      <c r="R17" s="2" t="s">
        <v>116</v>
      </c>
      <c r="T17" s="2" t="s">
        <v>29</v>
      </c>
    </row>
    <row r="18" spans="2:20" x14ac:dyDescent="0.2">
      <c r="B18" s="2">
        <v>503810366</v>
      </c>
      <c r="C18" s="2">
        <v>72</v>
      </c>
      <c r="D18" s="2" t="s">
        <v>30</v>
      </c>
      <c r="E18" s="2" t="s">
        <v>117</v>
      </c>
      <c r="F18" s="2" t="s">
        <v>44</v>
      </c>
      <c r="G18" s="2" t="s">
        <v>118</v>
      </c>
      <c r="H18" s="2" t="s">
        <v>119</v>
      </c>
      <c r="O18" s="2" t="s">
        <v>120</v>
      </c>
      <c r="R18" s="2" t="s">
        <v>121</v>
      </c>
      <c r="T18" s="2" t="s">
        <v>63</v>
      </c>
    </row>
    <row r="19" spans="2:20" x14ac:dyDescent="0.2">
      <c r="B19" s="2">
        <v>559910689</v>
      </c>
      <c r="C19" s="2">
        <v>34</v>
      </c>
      <c r="D19" s="2" t="s">
        <v>30</v>
      </c>
      <c r="E19" s="2" t="s">
        <v>122</v>
      </c>
      <c r="F19" s="2" t="s">
        <v>22</v>
      </c>
      <c r="G19" s="2" t="s">
        <v>92</v>
      </c>
      <c r="H19" s="2" t="s">
        <v>123</v>
      </c>
      <c r="K19" s="2" t="s">
        <v>124</v>
      </c>
      <c r="N19" s="2" t="s">
        <v>125</v>
      </c>
      <c r="P19" s="2" t="s">
        <v>126</v>
      </c>
      <c r="R19" s="2" t="s">
        <v>127</v>
      </c>
      <c r="T19" s="2" t="s">
        <v>29</v>
      </c>
    </row>
    <row r="20" spans="2:20" x14ac:dyDescent="0.2">
      <c r="B20" s="2">
        <v>644210241</v>
      </c>
      <c r="C20" s="2">
        <v>66</v>
      </c>
      <c r="D20" s="2" t="s">
        <v>30</v>
      </c>
      <c r="E20" s="2" t="s">
        <v>128</v>
      </c>
      <c r="F20" s="2" t="s">
        <v>44</v>
      </c>
      <c r="G20" s="2" t="s">
        <v>92</v>
      </c>
      <c r="H20" s="2" t="s">
        <v>129</v>
      </c>
      <c r="J20" s="2" t="s">
        <v>130</v>
      </c>
      <c r="K20" s="2" t="s">
        <v>131</v>
      </c>
      <c r="R20" s="2" t="s">
        <v>132</v>
      </c>
      <c r="T20" s="2" t="s">
        <v>29</v>
      </c>
    </row>
    <row r="21" spans="2:20" x14ac:dyDescent="0.2">
      <c r="B21" s="2">
        <v>812210207</v>
      </c>
      <c r="C21" s="2">
        <v>38</v>
      </c>
      <c r="D21" s="2" t="s">
        <v>20</v>
      </c>
      <c r="E21" s="2" t="s">
        <v>133</v>
      </c>
      <c r="F21" s="2" t="s">
        <v>44</v>
      </c>
      <c r="G21" s="2" t="s">
        <v>92</v>
      </c>
      <c r="N21" s="2" t="s">
        <v>134</v>
      </c>
      <c r="R21" s="2" t="s">
        <v>135</v>
      </c>
      <c r="T21" s="2" t="s">
        <v>29</v>
      </c>
    </row>
    <row r="22" spans="2:20" x14ac:dyDescent="0.2">
      <c r="B22" s="2">
        <v>925810409</v>
      </c>
      <c r="C22" s="2">
        <v>31</v>
      </c>
      <c r="D22" s="2" t="s">
        <v>20</v>
      </c>
      <c r="E22" s="2" t="s">
        <v>136</v>
      </c>
      <c r="G22" s="2" t="s">
        <v>137</v>
      </c>
      <c r="H22" s="2" t="s">
        <v>138</v>
      </c>
      <c r="J22" s="2" t="s">
        <v>139</v>
      </c>
      <c r="K22" s="2" t="s">
        <v>140</v>
      </c>
      <c r="N22" s="2" t="s">
        <v>141</v>
      </c>
      <c r="P22" s="2" t="s">
        <v>142</v>
      </c>
      <c r="R22" s="2" t="s">
        <v>143</v>
      </c>
      <c r="T22" s="2" t="s">
        <v>29</v>
      </c>
    </row>
    <row r="23" spans="2:20" x14ac:dyDescent="0.2">
      <c r="B23" s="2">
        <v>1054010302</v>
      </c>
      <c r="C23" s="2">
        <v>33</v>
      </c>
      <c r="D23" s="2" t="s">
        <v>20</v>
      </c>
      <c r="E23" s="2" t="s">
        <v>144</v>
      </c>
      <c r="G23" s="2" t="s">
        <v>145</v>
      </c>
      <c r="H23" s="2" t="s">
        <v>146</v>
      </c>
      <c r="J23" s="2" t="s">
        <v>147</v>
      </c>
      <c r="K23" s="2" t="s">
        <v>148</v>
      </c>
      <c r="N23" s="2" t="s">
        <v>149</v>
      </c>
      <c r="P23" s="2" t="s">
        <v>150</v>
      </c>
      <c r="R23" s="2" t="s">
        <v>151</v>
      </c>
      <c r="T23" s="2" t="s">
        <v>29</v>
      </c>
    </row>
    <row r="24" spans="2:20" x14ac:dyDescent="0.2">
      <c r="B24" s="2">
        <v>1525510677</v>
      </c>
      <c r="C24" s="2">
        <v>39</v>
      </c>
      <c r="D24" s="2" t="s">
        <v>30</v>
      </c>
      <c r="E24" s="2" t="s">
        <v>152</v>
      </c>
      <c r="G24" s="2" t="s">
        <v>145</v>
      </c>
      <c r="H24" s="2" t="s">
        <v>153</v>
      </c>
      <c r="J24" s="2" t="s">
        <v>154</v>
      </c>
      <c r="K24" s="2" t="s">
        <v>155</v>
      </c>
      <c r="N24" s="2" t="s">
        <v>156</v>
      </c>
      <c r="P24" s="2" t="s">
        <v>157</v>
      </c>
      <c r="R24" s="2" t="s">
        <v>158</v>
      </c>
      <c r="T24" s="2" t="s">
        <v>29</v>
      </c>
    </row>
    <row r="25" spans="2:20" x14ac:dyDescent="0.2">
      <c r="B25" s="2">
        <v>1721910803</v>
      </c>
      <c r="C25" s="2">
        <v>34</v>
      </c>
      <c r="D25" s="2" t="s">
        <v>30</v>
      </c>
      <c r="E25" s="2" t="s">
        <v>159</v>
      </c>
      <c r="F25" s="2" t="s">
        <v>22</v>
      </c>
      <c r="G25" s="2" t="s">
        <v>160</v>
      </c>
      <c r="R25" s="2" t="s">
        <v>161</v>
      </c>
      <c r="T25" s="2" t="s">
        <v>29</v>
      </c>
    </row>
    <row r="26" spans="2:20" x14ac:dyDescent="0.2">
      <c r="B26" s="2">
        <v>1985010365</v>
      </c>
      <c r="C26" s="2">
        <v>72</v>
      </c>
      <c r="D26" s="2" t="s">
        <v>30</v>
      </c>
      <c r="E26" s="2" t="s">
        <v>162</v>
      </c>
      <c r="F26" s="2" t="s">
        <v>22</v>
      </c>
      <c r="G26" s="2" t="s">
        <v>92</v>
      </c>
      <c r="K26" s="2" t="s">
        <v>163</v>
      </c>
      <c r="N26" s="2" t="s">
        <v>164</v>
      </c>
      <c r="P26" s="2" t="s">
        <v>165</v>
      </c>
      <c r="R26" s="2" t="s">
        <v>166</v>
      </c>
      <c r="T26" s="2" t="s">
        <v>29</v>
      </c>
    </row>
    <row r="27" spans="2:20" x14ac:dyDescent="0.2">
      <c r="B27" s="2">
        <v>2020510974</v>
      </c>
      <c r="C27" s="2">
        <v>55</v>
      </c>
      <c r="D27" s="2" t="s">
        <v>30</v>
      </c>
      <c r="E27" s="2" t="s">
        <v>167</v>
      </c>
      <c r="F27" s="2" t="s">
        <v>22</v>
      </c>
      <c r="G27" s="2" t="s">
        <v>92</v>
      </c>
      <c r="H27" s="2" t="s">
        <v>168</v>
      </c>
      <c r="J27" s="2" t="s">
        <v>169</v>
      </c>
      <c r="K27" s="2" t="s">
        <v>170</v>
      </c>
      <c r="P27" s="2" t="s">
        <v>171</v>
      </c>
      <c r="R27" s="2" t="s">
        <v>172</v>
      </c>
      <c r="T27" s="2" t="s">
        <v>29</v>
      </c>
    </row>
    <row r="28" spans="2:20" x14ac:dyDescent="0.2">
      <c r="B28" s="2">
        <v>2520610627</v>
      </c>
      <c r="C28" s="2">
        <v>44</v>
      </c>
      <c r="D28" s="2" t="s">
        <v>20</v>
      </c>
      <c r="E28" s="2" t="s">
        <v>159</v>
      </c>
      <c r="F28" s="2" t="s">
        <v>22</v>
      </c>
      <c r="G28" s="2" t="s">
        <v>92</v>
      </c>
      <c r="P28" s="2" t="s">
        <v>173</v>
      </c>
      <c r="R28" s="2" t="s">
        <v>174</v>
      </c>
      <c r="T28" s="2" t="s">
        <v>29</v>
      </c>
    </row>
    <row r="29" spans="2:20" x14ac:dyDescent="0.2">
      <c r="B29" s="2">
        <v>3954810544</v>
      </c>
      <c r="C29" s="2">
        <v>58</v>
      </c>
      <c r="D29" s="2" t="s">
        <v>30</v>
      </c>
      <c r="E29" s="2" t="s">
        <v>175</v>
      </c>
      <c r="G29" s="2" t="s">
        <v>176</v>
      </c>
      <c r="H29" s="2" t="s">
        <v>177</v>
      </c>
      <c r="J29" s="2" t="s">
        <v>178</v>
      </c>
      <c r="K29" s="2" t="s">
        <v>179</v>
      </c>
      <c r="N29" s="2" t="s">
        <v>180</v>
      </c>
      <c r="P29" s="2" t="s">
        <v>181</v>
      </c>
      <c r="R29" s="2" t="s">
        <v>182</v>
      </c>
      <c r="T29" s="2" t="s">
        <v>29</v>
      </c>
    </row>
    <row r="30" spans="2:20" x14ac:dyDescent="0.2">
      <c r="B30" s="2">
        <v>726710461</v>
      </c>
      <c r="C30" s="2">
        <v>47</v>
      </c>
      <c r="D30" s="2" t="s">
        <v>30</v>
      </c>
      <c r="E30" s="2" t="s">
        <v>183</v>
      </c>
      <c r="F30" s="2" t="s">
        <v>22</v>
      </c>
      <c r="G30" s="2" t="s">
        <v>184</v>
      </c>
      <c r="H30" s="2" t="s">
        <v>185</v>
      </c>
      <c r="K30" s="2" t="s">
        <v>186</v>
      </c>
      <c r="O30" s="2" t="s">
        <v>187</v>
      </c>
      <c r="P30" s="2" t="s">
        <v>188</v>
      </c>
      <c r="R30" s="2" t="s">
        <v>189</v>
      </c>
      <c r="T30" s="2" t="s">
        <v>63</v>
      </c>
    </row>
    <row r="31" spans="2:20" x14ac:dyDescent="0.2">
      <c r="B31" s="2">
        <v>833410289</v>
      </c>
      <c r="C31" s="2">
        <v>24</v>
      </c>
      <c r="D31" s="2" t="s">
        <v>20</v>
      </c>
      <c r="E31" s="2" t="s">
        <v>190</v>
      </c>
      <c r="F31" s="2" t="s">
        <v>22</v>
      </c>
      <c r="G31" s="2" t="s">
        <v>191</v>
      </c>
      <c r="O31" s="2" t="s">
        <v>192</v>
      </c>
      <c r="P31" s="2" t="s">
        <v>193</v>
      </c>
      <c r="R31" s="2" t="s">
        <v>194</v>
      </c>
      <c r="T31" s="2" t="s">
        <v>63</v>
      </c>
    </row>
    <row r="32" spans="2:20" x14ac:dyDescent="0.2">
      <c r="B32" s="2">
        <v>971510284</v>
      </c>
      <c r="C32" s="2">
        <v>60</v>
      </c>
      <c r="D32" s="2" t="s">
        <v>30</v>
      </c>
      <c r="E32" s="2" t="s">
        <v>195</v>
      </c>
      <c r="F32" s="2" t="s">
        <v>22</v>
      </c>
      <c r="G32" s="2" t="s">
        <v>191</v>
      </c>
      <c r="O32" s="2" t="s">
        <v>196</v>
      </c>
      <c r="P32" s="2" t="s">
        <v>197</v>
      </c>
      <c r="R32" s="2" t="s">
        <v>198</v>
      </c>
      <c r="T32" s="2" t="s">
        <v>63</v>
      </c>
    </row>
    <row r="33" spans="2:20" x14ac:dyDescent="0.2">
      <c r="B33" s="2">
        <v>1094310233</v>
      </c>
      <c r="C33" s="2">
        <v>4</v>
      </c>
      <c r="D33" s="2" t="s">
        <v>30</v>
      </c>
      <c r="E33" s="2" t="s">
        <v>199</v>
      </c>
      <c r="F33" s="2" t="s">
        <v>22</v>
      </c>
      <c r="G33" s="2" t="s">
        <v>191</v>
      </c>
      <c r="N33" s="2" t="s">
        <v>200</v>
      </c>
      <c r="O33" s="2" t="s">
        <v>196</v>
      </c>
      <c r="P33" s="2" t="s">
        <v>201</v>
      </c>
      <c r="R33" s="2" t="s">
        <v>202</v>
      </c>
      <c r="T33" s="2" t="s">
        <v>63</v>
      </c>
    </row>
    <row r="34" spans="2:20" x14ac:dyDescent="0.2">
      <c r="B34" s="2">
        <v>38410333</v>
      </c>
      <c r="C34" s="2">
        <v>33</v>
      </c>
      <c r="D34" s="2" t="s">
        <v>20</v>
      </c>
      <c r="E34" s="2" t="s">
        <v>203</v>
      </c>
      <c r="F34" s="2" t="s">
        <v>22</v>
      </c>
      <c r="G34" s="2" t="s">
        <v>204</v>
      </c>
      <c r="K34" s="2" t="s">
        <v>205</v>
      </c>
      <c r="O34" s="2" t="s">
        <v>206</v>
      </c>
      <c r="P34" s="2" t="s">
        <v>207</v>
      </c>
      <c r="R34" s="2" t="s">
        <v>208</v>
      </c>
      <c r="T34" s="2" t="s">
        <v>63</v>
      </c>
    </row>
    <row r="35" spans="2:20" x14ac:dyDescent="0.2">
      <c r="B35" s="2">
        <v>3525210465</v>
      </c>
      <c r="C35" s="2">
        <v>56</v>
      </c>
      <c r="D35" s="2" t="s">
        <v>30</v>
      </c>
      <c r="E35" s="2" t="s">
        <v>209</v>
      </c>
      <c r="G35" s="2" t="s">
        <v>210</v>
      </c>
      <c r="J35" s="2" t="s">
        <v>211</v>
      </c>
      <c r="K35" s="2" t="s">
        <v>212</v>
      </c>
      <c r="R35" s="2" t="s">
        <v>213</v>
      </c>
      <c r="T35" s="2" t="s">
        <v>29</v>
      </c>
    </row>
    <row r="36" spans="2:20" x14ac:dyDescent="0.2">
      <c r="B36" s="2">
        <v>2010394</v>
      </c>
      <c r="C36" s="2">
        <v>33</v>
      </c>
      <c r="D36" s="2" t="s">
        <v>30</v>
      </c>
      <c r="E36" s="2" t="s">
        <v>214</v>
      </c>
      <c r="F36" s="2" t="s">
        <v>22</v>
      </c>
      <c r="G36" s="2" t="s">
        <v>215</v>
      </c>
      <c r="K36" s="2" t="s">
        <v>216</v>
      </c>
      <c r="P36" s="2" t="s">
        <v>217</v>
      </c>
      <c r="R36" s="2" t="s">
        <v>218</v>
      </c>
      <c r="T36" s="2" t="s">
        <v>29</v>
      </c>
    </row>
    <row r="37" spans="2:20" x14ac:dyDescent="0.2">
      <c r="B37" s="2">
        <v>62910668</v>
      </c>
      <c r="C37" s="2">
        <v>59</v>
      </c>
      <c r="D37" s="2" t="s">
        <v>30</v>
      </c>
      <c r="E37" s="2" t="s">
        <v>219</v>
      </c>
      <c r="F37" s="2" t="s">
        <v>22</v>
      </c>
      <c r="G37" s="2" t="s">
        <v>220</v>
      </c>
      <c r="H37" s="2" t="s">
        <v>221</v>
      </c>
      <c r="N37" s="2" t="s">
        <v>222</v>
      </c>
      <c r="P37" s="2" t="s">
        <v>223</v>
      </c>
      <c r="R37" s="2" t="s">
        <v>224</v>
      </c>
      <c r="T37" s="2" t="s">
        <v>29</v>
      </c>
    </row>
    <row r="38" spans="2:20" x14ac:dyDescent="0.2">
      <c r="B38" s="2">
        <v>75310568</v>
      </c>
      <c r="C38" s="2">
        <v>54</v>
      </c>
      <c r="D38" s="2" t="s">
        <v>20</v>
      </c>
      <c r="E38" s="2" t="s">
        <v>225</v>
      </c>
      <c r="F38" s="2" t="s">
        <v>44</v>
      </c>
      <c r="G38" s="2" t="s">
        <v>220</v>
      </c>
      <c r="H38" s="2" t="s">
        <v>226</v>
      </c>
      <c r="J38" s="2" t="s">
        <v>227</v>
      </c>
      <c r="K38" s="2" t="s">
        <v>228</v>
      </c>
      <c r="N38" s="2" t="s">
        <v>229</v>
      </c>
      <c r="R38" s="2" t="s">
        <v>230</v>
      </c>
      <c r="T38" s="2" t="s">
        <v>29</v>
      </c>
    </row>
    <row r="39" spans="2:20" x14ac:dyDescent="0.2">
      <c r="B39" s="2">
        <v>120310166</v>
      </c>
      <c r="C39" s="2">
        <v>33</v>
      </c>
      <c r="D39" s="2" t="s">
        <v>20</v>
      </c>
      <c r="E39" s="2" t="s">
        <v>231</v>
      </c>
      <c r="F39" s="2" t="s">
        <v>44</v>
      </c>
      <c r="G39" s="2" t="s">
        <v>220</v>
      </c>
      <c r="H39" s="2" t="s">
        <v>232</v>
      </c>
      <c r="J39" s="2" t="s">
        <v>233</v>
      </c>
      <c r="K39" s="2" t="s">
        <v>234</v>
      </c>
      <c r="O39" s="2" t="s">
        <v>235</v>
      </c>
      <c r="P39" s="2" t="s">
        <v>236</v>
      </c>
      <c r="R39" s="2" t="s">
        <v>237</v>
      </c>
      <c r="T39" s="2" t="s">
        <v>63</v>
      </c>
    </row>
    <row r="40" spans="2:20" x14ac:dyDescent="0.2">
      <c r="B40" s="2">
        <v>319810053</v>
      </c>
      <c r="C40" s="2">
        <v>13</v>
      </c>
      <c r="D40" s="2" t="s">
        <v>30</v>
      </c>
      <c r="E40" s="2" t="s">
        <v>238</v>
      </c>
      <c r="F40" s="2" t="s">
        <v>22</v>
      </c>
      <c r="G40" s="2" t="s">
        <v>215</v>
      </c>
      <c r="N40" s="2" t="s">
        <v>239</v>
      </c>
      <c r="P40" s="2" t="s">
        <v>240</v>
      </c>
      <c r="R40" s="2" t="s">
        <v>241</v>
      </c>
      <c r="T40" s="2" t="s">
        <v>29</v>
      </c>
    </row>
    <row r="41" spans="2:20" x14ac:dyDescent="0.2">
      <c r="B41" s="2">
        <v>341210634</v>
      </c>
      <c r="C41" s="2">
        <v>17</v>
      </c>
      <c r="D41" s="2" t="s">
        <v>30</v>
      </c>
      <c r="E41" s="2" t="s">
        <v>242</v>
      </c>
      <c r="F41" s="2" t="s">
        <v>44</v>
      </c>
      <c r="G41" s="2" t="s">
        <v>220</v>
      </c>
      <c r="K41" s="2" t="s">
        <v>243</v>
      </c>
      <c r="P41" s="2" t="s">
        <v>244</v>
      </c>
      <c r="R41" s="2" t="s">
        <v>245</v>
      </c>
      <c r="T41" s="2" t="s">
        <v>29</v>
      </c>
    </row>
    <row r="42" spans="2:20" x14ac:dyDescent="0.2">
      <c r="B42" s="2">
        <v>362110891</v>
      </c>
      <c r="C42" s="2">
        <v>40</v>
      </c>
      <c r="D42" s="2" t="s">
        <v>30</v>
      </c>
      <c r="E42" s="2" t="s">
        <v>246</v>
      </c>
      <c r="G42" s="2" t="s">
        <v>220</v>
      </c>
      <c r="H42" s="2" t="s">
        <v>247</v>
      </c>
      <c r="J42" s="2" t="s">
        <v>248</v>
      </c>
      <c r="K42" s="2" t="s">
        <v>249</v>
      </c>
      <c r="P42" s="2" t="s">
        <v>250</v>
      </c>
      <c r="R42" s="2" t="s">
        <v>251</v>
      </c>
      <c r="T42" s="2" t="s">
        <v>29</v>
      </c>
    </row>
    <row r="43" spans="2:20" x14ac:dyDescent="0.2">
      <c r="B43" s="2">
        <v>370010311</v>
      </c>
      <c r="C43" s="2">
        <v>79</v>
      </c>
      <c r="D43" s="2" t="s">
        <v>30</v>
      </c>
      <c r="E43" s="2" t="s">
        <v>252</v>
      </c>
      <c r="F43" s="2" t="s">
        <v>44</v>
      </c>
      <c r="G43" s="2" t="s">
        <v>220</v>
      </c>
      <c r="K43" s="2" t="s">
        <v>253</v>
      </c>
      <c r="T43" s="2" t="s">
        <v>29</v>
      </c>
    </row>
    <row r="44" spans="2:20" x14ac:dyDescent="0.2">
      <c r="B44" s="2">
        <v>461910966</v>
      </c>
      <c r="C44" s="2">
        <v>31</v>
      </c>
      <c r="D44" s="2" t="s">
        <v>30</v>
      </c>
      <c r="E44" s="2" t="s">
        <v>254</v>
      </c>
      <c r="F44" s="2" t="s">
        <v>44</v>
      </c>
      <c r="G44" s="2" t="s">
        <v>220</v>
      </c>
      <c r="R44" s="2" t="s">
        <v>255</v>
      </c>
      <c r="T44" s="2" t="s">
        <v>29</v>
      </c>
    </row>
    <row r="45" spans="2:20" x14ac:dyDescent="0.2">
      <c r="B45" s="2">
        <v>515410701</v>
      </c>
      <c r="C45" s="2">
        <v>58</v>
      </c>
      <c r="D45" s="2" t="s">
        <v>20</v>
      </c>
      <c r="E45" s="2" t="s">
        <v>256</v>
      </c>
      <c r="F45" s="2" t="s">
        <v>44</v>
      </c>
      <c r="G45" s="2" t="s">
        <v>257</v>
      </c>
      <c r="K45" s="2" t="s">
        <v>258</v>
      </c>
      <c r="O45" s="2" t="s">
        <v>259</v>
      </c>
      <c r="P45" s="2" t="s">
        <v>260</v>
      </c>
      <c r="R45" s="2" t="s">
        <v>261</v>
      </c>
      <c r="T45" s="2" t="s">
        <v>63</v>
      </c>
    </row>
    <row r="46" spans="2:20" x14ac:dyDescent="0.2">
      <c r="B46" s="2">
        <v>603810956</v>
      </c>
      <c r="C46" s="2">
        <v>18</v>
      </c>
      <c r="D46" s="2" t="s">
        <v>20</v>
      </c>
      <c r="E46" s="2" t="s">
        <v>262</v>
      </c>
      <c r="F46" s="2" t="s">
        <v>44</v>
      </c>
      <c r="G46" s="2" t="s">
        <v>220</v>
      </c>
      <c r="K46" s="2" t="s">
        <v>263</v>
      </c>
      <c r="T46" s="2" t="s">
        <v>29</v>
      </c>
    </row>
    <row r="47" spans="2:20" x14ac:dyDescent="0.2">
      <c r="B47" s="2">
        <v>689210365</v>
      </c>
      <c r="C47" s="2">
        <v>71</v>
      </c>
      <c r="D47" s="2" t="s">
        <v>30</v>
      </c>
      <c r="E47" s="2" t="s">
        <v>264</v>
      </c>
      <c r="F47" s="2" t="s">
        <v>22</v>
      </c>
      <c r="G47" s="2" t="s">
        <v>215</v>
      </c>
      <c r="H47" s="2" t="s">
        <v>265</v>
      </c>
      <c r="K47" s="2" t="s">
        <v>266</v>
      </c>
      <c r="N47" s="2" t="s">
        <v>267</v>
      </c>
      <c r="P47" s="2" t="s">
        <v>268</v>
      </c>
      <c r="R47" s="2" t="s">
        <v>269</v>
      </c>
      <c r="T47" s="2" t="s">
        <v>29</v>
      </c>
    </row>
    <row r="48" spans="2:20" x14ac:dyDescent="0.2">
      <c r="B48" s="2">
        <v>726310128</v>
      </c>
      <c r="C48" s="2">
        <v>17</v>
      </c>
      <c r="D48" s="2" t="s">
        <v>20</v>
      </c>
      <c r="E48" s="2" t="s">
        <v>270</v>
      </c>
      <c r="F48" s="2" t="s">
        <v>44</v>
      </c>
      <c r="G48" s="2" t="s">
        <v>220</v>
      </c>
      <c r="N48" s="2" t="s">
        <v>271</v>
      </c>
      <c r="R48" s="2" t="s">
        <v>272</v>
      </c>
      <c r="T48" s="2" t="s">
        <v>29</v>
      </c>
    </row>
    <row r="49" spans="2:20" x14ac:dyDescent="0.2">
      <c r="B49" s="2">
        <v>740710960</v>
      </c>
      <c r="C49" s="2">
        <v>12</v>
      </c>
      <c r="D49" s="2" t="s">
        <v>20</v>
      </c>
      <c r="E49" s="2" t="s">
        <v>273</v>
      </c>
      <c r="F49" s="2" t="s">
        <v>44</v>
      </c>
      <c r="G49" s="2" t="s">
        <v>220</v>
      </c>
      <c r="N49" s="2" t="s">
        <v>274</v>
      </c>
      <c r="P49" s="2" t="s">
        <v>275</v>
      </c>
      <c r="R49" s="2" t="s">
        <v>276</v>
      </c>
      <c r="T49" s="2" t="s">
        <v>29</v>
      </c>
    </row>
    <row r="50" spans="2:20" x14ac:dyDescent="0.2">
      <c r="B50" s="2">
        <v>741610129</v>
      </c>
      <c r="C50" s="2">
        <v>24</v>
      </c>
      <c r="D50" s="2" t="s">
        <v>30</v>
      </c>
      <c r="E50" s="2" t="s">
        <v>277</v>
      </c>
      <c r="F50" s="2" t="s">
        <v>44</v>
      </c>
      <c r="G50" s="2" t="s">
        <v>220</v>
      </c>
      <c r="H50" s="2" t="s">
        <v>278</v>
      </c>
      <c r="K50" s="2" t="s">
        <v>279</v>
      </c>
      <c r="N50" s="2" t="s">
        <v>280</v>
      </c>
      <c r="P50" s="2" t="s">
        <v>281</v>
      </c>
      <c r="R50" s="2" t="s">
        <v>282</v>
      </c>
      <c r="T50" s="2" t="s">
        <v>29</v>
      </c>
    </row>
    <row r="51" spans="2:20" x14ac:dyDescent="0.2">
      <c r="B51" s="2">
        <v>795410971</v>
      </c>
      <c r="C51" s="2">
        <v>2</v>
      </c>
      <c r="D51" s="2" t="s">
        <v>20</v>
      </c>
      <c r="E51" s="2" t="s">
        <v>283</v>
      </c>
      <c r="F51" s="2" t="s">
        <v>44</v>
      </c>
      <c r="G51" s="2" t="s">
        <v>220</v>
      </c>
      <c r="N51" s="2" t="s">
        <v>284</v>
      </c>
      <c r="T51" s="2" t="s">
        <v>63</v>
      </c>
    </row>
    <row r="52" spans="2:20" x14ac:dyDescent="0.2">
      <c r="B52" s="2">
        <v>818210372</v>
      </c>
      <c r="C52" s="2">
        <v>57</v>
      </c>
      <c r="D52" s="2" t="s">
        <v>30</v>
      </c>
      <c r="E52" s="2" t="s">
        <v>285</v>
      </c>
      <c r="F52" s="2" t="s">
        <v>44</v>
      </c>
      <c r="G52" s="2" t="s">
        <v>220</v>
      </c>
      <c r="K52" s="2" t="s">
        <v>286</v>
      </c>
      <c r="N52" s="2" t="s">
        <v>287</v>
      </c>
      <c r="R52" s="2" t="s">
        <v>288</v>
      </c>
      <c r="T52" s="2" t="s">
        <v>29</v>
      </c>
    </row>
    <row r="53" spans="2:20" x14ac:dyDescent="0.2">
      <c r="B53" s="2">
        <v>826210737</v>
      </c>
      <c r="C53" s="2">
        <v>3</v>
      </c>
      <c r="D53" s="2" t="s">
        <v>20</v>
      </c>
      <c r="E53" s="2" t="s">
        <v>289</v>
      </c>
      <c r="F53" s="2" t="s">
        <v>44</v>
      </c>
      <c r="G53" s="2" t="s">
        <v>220</v>
      </c>
      <c r="R53" s="2" t="s">
        <v>290</v>
      </c>
      <c r="T53" s="2" t="s">
        <v>29</v>
      </c>
    </row>
    <row r="54" spans="2:20" x14ac:dyDescent="0.2">
      <c r="B54" s="2">
        <v>870510178</v>
      </c>
      <c r="C54" s="2">
        <v>60</v>
      </c>
      <c r="D54" s="2" t="s">
        <v>30</v>
      </c>
      <c r="E54" s="2" t="s">
        <v>291</v>
      </c>
      <c r="F54" s="2" t="s">
        <v>22</v>
      </c>
      <c r="G54" s="2" t="s">
        <v>220</v>
      </c>
      <c r="O54" s="2" t="s">
        <v>292</v>
      </c>
      <c r="P54" s="2" t="s">
        <v>293</v>
      </c>
      <c r="R54" s="2" t="s">
        <v>294</v>
      </c>
      <c r="T54" s="2" t="s">
        <v>63</v>
      </c>
    </row>
    <row r="55" spans="2:20" x14ac:dyDescent="0.2">
      <c r="B55" s="2">
        <v>888710791</v>
      </c>
      <c r="C55" s="2">
        <v>12</v>
      </c>
      <c r="D55" s="2" t="s">
        <v>20</v>
      </c>
      <c r="E55" s="2" t="s">
        <v>295</v>
      </c>
      <c r="F55" s="2" t="s">
        <v>22</v>
      </c>
      <c r="G55" s="2" t="s">
        <v>220</v>
      </c>
      <c r="N55" s="2" t="s">
        <v>296</v>
      </c>
      <c r="R55" s="2" t="s">
        <v>297</v>
      </c>
      <c r="T55" s="2" t="s">
        <v>29</v>
      </c>
    </row>
    <row r="56" spans="2:20" x14ac:dyDescent="0.2">
      <c r="B56" s="2">
        <v>932610840</v>
      </c>
      <c r="C56" s="2">
        <v>13</v>
      </c>
      <c r="D56" s="2" t="s">
        <v>20</v>
      </c>
      <c r="E56" s="2" t="s">
        <v>298</v>
      </c>
      <c r="F56" s="2" t="s">
        <v>44</v>
      </c>
      <c r="G56" s="2" t="s">
        <v>220</v>
      </c>
      <c r="H56" s="2" t="s">
        <v>299</v>
      </c>
      <c r="N56" s="2" t="s">
        <v>300</v>
      </c>
      <c r="O56" s="2" t="s">
        <v>299</v>
      </c>
      <c r="R56" s="2" t="s">
        <v>301</v>
      </c>
      <c r="T56" s="2" t="s">
        <v>63</v>
      </c>
    </row>
    <row r="57" spans="2:20" x14ac:dyDescent="0.2">
      <c r="B57" s="2">
        <v>954410764</v>
      </c>
      <c r="C57" s="2">
        <v>19</v>
      </c>
      <c r="D57" s="2" t="s">
        <v>20</v>
      </c>
      <c r="E57" s="2" t="s">
        <v>302</v>
      </c>
      <c r="F57" s="2" t="s">
        <v>22</v>
      </c>
      <c r="G57" s="2" t="s">
        <v>220</v>
      </c>
      <c r="N57" s="2" t="s">
        <v>303</v>
      </c>
      <c r="R57" s="2" t="s">
        <v>304</v>
      </c>
      <c r="T57" s="2" t="s">
        <v>29</v>
      </c>
    </row>
    <row r="58" spans="2:20" x14ac:dyDescent="0.2">
      <c r="B58" s="2">
        <v>959010761</v>
      </c>
      <c r="C58" s="2">
        <v>9</v>
      </c>
      <c r="D58" s="2" t="s">
        <v>20</v>
      </c>
      <c r="E58" s="2" t="s">
        <v>305</v>
      </c>
      <c r="F58" s="2" t="s">
        <v>44</v>
      </c>
      <c r="G58" s="2" t="s">
        <v>220</v>
      </c>
      <c r="H58" s="2" t="s">
        <v>306</v>
      </c>
      <c r="P58" s="2" t="s">
        <v>307</v>
      </c>
      <c r="R58" s="2" t="s">
        <v>308</v>
      </c>
      <c r="T58" s="2" t="s">
        <v>29</v>
      </c>
    </row>
    <row r="59" spans="2:20" x14ac:dyDescent="0.2">
      <c r="B59" s="2">
        <v>1084310679</v>
      </c>
      <c r="C59" s="2">
        <v>14</v>
      </c>
      <c r="D59" s="2" t="s">
        <v>30</v>
      </c>
      <c r="E59" s="2" t="s">
        <v>309</v>
      </c>
      <c r="F59" s="2" t="s">
        <v>44</v>
      </c>
      <c r="G59" s="2" t="s">
        <v>220</v>
      </c>
      <c r="O59" s="2" t="s">
        <v>310</v>
      </c>
      <c r="R59" s="2" t="s">
        <v>311</v>
      </c>
      <c r="T59" s="2" t="s">
        <v>63</v>
      </c>
    </row>
    <row r="60" spans="2:20" x14ac:dyDescent="0.2">
      <c r="B60" s="2">
        <v>1084510775</v>
      </c>
      <c r="C60" s="2">
        <v>14</v>
      </c>
      <c r="D60" s="2" t="s">
        <v>20</v>
      </c>
      <c r="E60" s="2" t="s">
        <v>312</v>
      </c>
      <c r="F60" s="2" t="s">
        <v>44</v>
      </c>
      <c r="G60" s="2" t="s">
        <v>220</v>
      </c>
      <c r="H60" s="2" t="s">
        <v>313</v>
      </c>
      <c r="K60" s="2" t="s">
        <v>314</v>
      </c>
      <c r="N60" s="2" t="s">
        <v>315</v>
      </c>
      <c r="P60" s="2" t="s">
        <v>316</v>
      </c>
      <c r="R60" s="2" t="s">
        <v>317</v>
      </c>
      <c r="T60" s="2" t="s">
        <v>29</v>
      </c>
    </row>
    <row r="61" spans="2:20" x14ac:dyDescent="0.2">
      <c r="B61" s="2">
        <v>1086910999</v>
      </c>
      <c r="C61" s="2">
        <v>27</v>
      </c>
      <c r="D61" s="2" t="s">
        <v>30</v>
      </c>
      <c r="E61" s="2" t="s">
        <v>318</v>
      </c>
      <c r="F61" s="2" t="s">
        <v>44</v>
      </c>
      <c r="G61" s="2" t="s">
        <v>220</v>
      </c>
      <c r="N61" s="2" t="s">
        <v>319</v>
      </c>
      <c r="R61" s="2" t="s">
        <v>320</v>
      </c>
      <c r="T61" s="2" t="s">
        <v>29</v>
      </c>
    </row>
    <row r="62" spans="2:20" x14ac:dyDescent="0.2">
      <c r="B62" s="2">
        <v>1377210629</v>
      </c>
      <c r="C62" s="2">
        <v>50</v>
      </c>
      <c r="D62" s="2" t="s">
        <v>20</v>
      </c>
      <c r="E62" s="2" t="s">
        <v>321</v>
      </c>
      <c r="F62" s="2" t="s">
        <v>44</v>
      </c>
      <c r="G62" s="2" t="s">
        <v>220</v>
      </c>
      <c r="H62" s="2" t="s">
        <v>322</v>
      </c>
      <c r="N62" s="2" t="s">
        <v>323</v>
      </c>
      <c r="R62" s="2" t="s">
        <v>324</v>
      </c>
      <c r="T62" s="2" t="s">
        <v>29</v>
      </c>
    </row>
    <row r="63" spans="2:20" x14ac:dyDescent="0.2">
      <c r="B63" s="2">
        <v>1559910397</v>
      </c>
      <c r="C63" s="2">
        <v>13</v>
      </c>
      <c r="D63" s="2" t="s">
        <v>30</v>
      </c>
      <c r="E63" s="2" t="s">
        <v>325</v>
      </c>
      <c r="F63" s="2" t="s">
        <v>22</v>
      </c>
      <c r="G63" s="2" t="s">
        <v>220</v>
      </c>
      <c r="K63" s="2" t="s">
        <v>326</v>
      </c>
      <c r="N63" s="2" t="s">
        <v>327</v>
      </c>
      <c r="P63" s="2" t="s">
        <v>328</v>
      </c>
      <c r="R63" s="2" t="s">
        <v>329</v>
      </c>
      <c r="T63" s="2" t="s">
        <v>29</v>
      </c>
    </row>
    <row r="64" spans="2:20" x14ac:dyDescent="0.2">
      <c r="B64" s="2">
        <v>1602410226</v>
      </c>
      <c r="C64" s="2">
        <v>27</v>
      </c>
      <c r="D64" s="2" t="s">
        <v>20</v>
      </c>
      <c r="E64" s="2" t="s">
        <v>330</v>
      </c>
      <c r="F64" s="2" t="s">
        <v>44</v>
      </c>
      <c r="G64" s="2" t="s">
        <v>220</v>
      </c>
      <c r="K64" s="2" t="s">
        <v>331</v>
      </c>
      <c r="N64" s="2" t="s">
        <v>332</v>
      </c>
      <c r="R64" s="2" t="s">
        <v>333</v>
      </c>
      <c r="T64" s="2" t="s">
        <v>29</v>
      </c>
    </row>
    <row r="65" spans="2:20" x14ac:dyDescent="0.2">
      <c r="B65" s="2">
        <v>1620610573</v>
      </c>
      <c r="C65" s="2">
        <v>63</v>
      </c>
      <c r="D65" s="2" t="s">
        <v>20</v>
      </c>
      <c r="E65" s="2" t="s">
        <v>334</v>
      </c>
      <c r="F65" s="2" t="s">
        <v>44</v>
      </c>
      <c r="G65" s="2" t="s">
        <v>220</v>
      </c>
      <c r="H65" s="2" t="s">
        <v>335</v>
      </c>
      <c r="K65" s="2" t="s">
        <v>336</v>
      </c>
      <c r="R65" s="2" t="s">
        <v>337</v>
      </c>
      <c r="T65" s="2" t="s">
        <v>29</v>
      </c>
    </row>
    <row r="66" spans="2:20" x14ac:dyDescent="0.2">
      <c r="B66" s="2">
        <v>1675410922</v>
      </c>
      <c r="C66" s="2">
        <v>31</v>
      </c>
      <c r="D66" s="2" t="s">
        <v>30</v>
      </c>
      <c r="E66" s="2" t="s">
        <v>338</v>
      </c>
      <c r="F66" s="2" t="s">
        <v>44</v>
      </c>
      <c r="G66" s="2" t="s">
        <v>220</v>
      </c>
      <c r="N66" s="2" t="s">
        <v>339</v>
      </c>
      <c r="R66" s="2" t="s">
        <v>340</v>
      </c>
      <c r="T66" s="2" t="s">
        <v>29</v>
      </c>
    </row>
    <row r="67" spans="2:20" x14ac:dyDescent="0.2">
      <c r="B67" s="2">
        <v>1759410412</v>
      </c>
      <c r="C67" s="2">
        <v>68</v>
      </c>
      <c r="D67" s="2" t="s">
        <v>20</v>
      </c>
      <c r="E67" s="2" t="s">
        <v>341</v>
      </c>
      <c r="F67" s="2" t="s">
        <v>44</v>
      </c>
      <c r="G67" s="2" t="s">
        <v>220</v>
      </c>
      <c r="H67" s="2" t="s">
        <v>342</v>
      </c>
      <c r="O67" s="2" t="s">
        <v>342</v>
      </c>
      <c r="P67" s="2" t="s">
        <v>343</v>
      </c>
      <c r="R67" s="2" t="s">
        <v>344</v>
      </c>
      <c r="T67" s="2" t="s">
        <v>63</v>
      </c>
    </row>
    <row r="68" spans="2:20" x14ac:dyDescent="0.2">
      <c r="B68" s="2">
        <v>1833510766</v>
      </c>
      <c r="C68" s="2">
        <v>4</v>
      </c>
      <c r="D68" s="2" t="s">
        <v>20</v>
      </c>
      <c r="E68" s="2" t="s">
        <v>345</v>
      </c>
      <c r="F68" s="2" t="s">
        <v>44</v>
      </c>
      <c r="G68" s="2" t="s">
        <v>220</v>
      </c>
      <c r="N68" s="2" t="s">
        <v>346</v>
      </c>
      <c r="P68" s="2" t="s">
        <v>347</v>
      </c>
      <c r="R68" s="2" t="s">
        <v>348</v>
      </c>
      <c r="T68" s="2" t="s">
        <v>29</v>
      </c>
    </row>
    <row r="69" spans="2:20" x14ac:dyDescent="0.2">
      <c r="B69" s="2">
        <v>2079410115</v>
      </c>
      <c r="C69" s="2">
        <v>48</v>
      </c>
      <c r="D69" s="2" t="s">
        <v>20</v>
      </c>
      <c r="E69" s="2" t="s">
        <v>349</v>
      </c>
      <c r="F69" s="2" t="s">
        <v>22</v>
      </c>
      <c r="G69" s="2" t="s">
        <v>215</v>
      </c>
      <c r="N69" s="2" t="s">
        <v>350</v>
      </c>
      <c r="P69" s="2" t="s">
        <v>351</v>
      </c>
      <c r="R69" s="2" t="s">
        <v>352</v>
      </c>
      <c r="T69" s="2" t="s">
        <v>29</v>
      </c>
    </row>
    <row r="70" spans="2:20" x14ac:dyDescent="0.2">
      <c r="B70" s="2">
        <v>2134710591</v>
      </c>
      <c r="C70" s="2">
        <v>41</v>
      </c>
      <c r="D70" s="2" t="s">
        <v>20</v>
      </c>
      <c r="E70" s="2" t="s">
        <v>353</v>
      </c>
      <c r="F70" s="2" t="s">
        <v>44</v>
      </c>
      <c r="G70" s="2" t="s">
        <v>220</v>
      </c>
      <c r="H70" s="2" t="s">
        <v>354</v>
      </c>
      <c r="R70" s="2" t="s">
        <v>355</v>
      </c>
      <c r="T70" s="2" t="s">
        <v>29</v>
      </c>
    </row>
    <row r="71" spans="2:20" x14ac:dyDescent="0.2">
      <c r="B71" s="2">
        <v>2335110194</v>
      </c>
      <c r="C71" s="2">
        <v>56</v>
      </c>
      <c r="D71" s="2" t="s">
        <v>30</v>
      </c>
      <c r="E71" s="2" t="s">
        <v>356</v>
      </c>
      <c r="F71" s="2" t="s">
        <v>22</v>
      </c>
      <c r="G71" s="2" t="s">
        <v>220</v>
      </c>
      <c r="H71" s="2" t="s">
        <v>357</v>
      </c>
      <c r="J71" s="2" t="s">
        <v>358</v>
      </c>
      <c r="K71" s="2" t="s">
        <v>359</v>
      </c>
      <c r="N71" s="2" t="s">
        <v>360</v>
      </c>
      <c r="P71" s="2" t="s">
        <v>361</v>
      </c>
      <c r="R71" s="2" t="s">
        <v>362</v>
      </c>
      <c r="T71" s="2" t="s">
        <v>29</v>
      </c>
    </row>
    <row r="72" spans="2:20" x14ac:dyDescent="0.2">
      <c r="B72" s="2">
        <v>2482010040</v>
      </c>
      <c r="C72" s="2">
        <v>39</v>
      </c>
      <c r="D72" s="2" t="s">
        <v>30</v>
      </c>
      <c r="E72" s="2" t="s">
        <v>363</v>
      </c>
      <c r="F72" s="2" t="s">
        <v>44</v>
      </c>
      <c r="G72" s="2" t="s">
        <v>220</v>
      </c>
      <c r="H72" s="2" t="s">
        <v>364</v>
      </c>
      <c r="K72" s="2" t="s">
        <v>365</v>
      </c>
      <c r="N72" s="2" t="s">
        <v>366</v>
      </c>
      <c r="O72" s="2" t="s">
        <v>367</v>
      </c>
      <c r="R72" s="2" t="s">
        <v>368</v>
      </c>
      <c r="T72" s="2" t="s">
        <v>63</v>
      </c>
    </row>
    <row r="73" spans="2:20" x14ac:dyDescent="0.2">
      <c r="B73" s="2">
        <v>2489610789</v>
      </c>
      <c r="C73" s="2">
        <v>21</v>
      </c>
      <c r="D73" s="2" t="s">
        <v>20</v>
      </c>
      <c r="E73" s="2" t="s">
        <v>369</v>
      </c>
      <c r="F73" s="2" t="s">
        <v>22</v>
      </c>
      <c r="G73" s="2" t="s">
        <v>220</v>
      </c>
      <c r="P73" s="2" t="s">
        <v>370</v>
      </c>
      <c r="R73" s="2" t="s">
        <v>371</v>
      </c>
      <c r="T73" s="2" t="s">
        <v>29</v>
      </c>
    </row>
    <row r="74" spans="2:20" x14ac:dyDescent="0.2">
      <c r="B74" s="2">
        <v>2615910492</v>
      </c>
      <c r="C74" s="2">
        <v>29</v>
      </c>
      <c r="D74" s="2" t="s">
        <v>30</v>
      </c>
      <c r="E74" s="2" t="s">
        <v>372</v>
      </c>
      <c r="F74" s="2" t="s">
        <v>44</v>
      </c>
      <c r="G74" s="2" t="s">
        <v>220</v>
      </c>
      <c r="O74" s="2" t="s">
        <v>373</v>
      </c>
      <c r="P74" s="2" t="s">
        <v>374</v>
      </c>
      <c r="R74" s="2" t="s">
        <v>375</v>
      </c>
      <c r="T74" s="2" t="s">
        <v>63</v>
      </c>
    </row>
    <row r="75" spans="2:20" x14ac:dyDescent="0.2">
      <c r="B75" s="2">
        <v>2723810058</v>
      </c>
      <c r="C75" s="2">
        <v>72</v>
      </c>
      <c r="D75" s="2" t="s">
        <v>30</v>
      </c>
      <c r="E75" s="2" t="s">
        <v>376</v>
      </c>
      <c r="F75" s="2" t="s">
        <v>44</v>
      </c>
      <c r="G75" s="2" t="s">
        <v>220</v>
      </c>
      <c r="H75" s="2" t="s">
        <v>377</v>
      </c>
      <c r="J75" s="2" t="s">
        <v>378</v>
      </c>
      <c r="K75" s="2" t="s">
        <v>379</v>
      </c>
      <c r="R75" s="2" t="s">
        <v>380</v>
      </c>
      <c r="T75" s="2" t="s">
        <v>29</v>
      </c>
    </row>
    <row r="76" spans="2:20" x14ac:dyDescent="0.2">
      <c r="B76" s="2">
        <v>2850010979</v>
      </c>
      <c r="C76" s="2">
        <v>2</v>
      </c>
      <c r="D76" s="2" t="s">
        <v>30</v>
      </c>
      <c r="E76" s="2" t="s">
        <v>381</v>
      </c>
      <c r="F76" s="2" t="s">
        <v>44</v>
      </c>
      <c r="G76" s="2" t="s">
        <v>220</v>
      </c>
      <c r="N76" s="2" t="s">
        <v>382</v>
      </c>
      <c r="R76" s="2" t="s">
        <v>383</v>
      </c>
      <c r="T76" s="2" t="s">
        <v>29</v>
      </c>
    </row>
    <row r="77" spans="2:20" x14ac:dyDescent="0.2">
      <c r="B77" s="2">
        <v>2946010373</v>
      </c>
      <c r="C77" s="2">
        <v>31</v>
      </c>
      <c r="D77" s="2" t="s">
        <v>30</v>
      </c>
      <c r="E77" s="2" t="s">
        <v>384</v>
      </c>
      <c r="F77" s="2" t="s">
        <v>22</v>
      </c>
      <c r="G77" s="2" t="s">
        <v>220</v>
      </c>
      <c r="K77" s="2" t="s">
        <v>385</v>
      </c>
      <c r="P77" s="2" t="s">
        <v>386</v>
      </c>
      <c r="R77" s="2" t="s">
        <v>387</v>
      </c>
      <c r="T77" s="2" t="s">
        <v>29</v>
      </c>
    </row>
    <row r="78" spans="2:20" x14ac:dyDescent="0.2">
      <c r="B78" s="2">
        <v>3181110734</v>
      </c>
      <c r="C78" s="2">
        <v>21</v>
      </c>
      <c r="D78" s="2" t="s">
        <v>30</v>
      </c>
      <c r="E78" s="2" t="s">
        <v>388</v>
      </c>
      <c r="F78" s="2" t="s">
        <v>44</v>
      </c>
      <c r="G78" s="2" t="s">
        <v>220</v>
      </c>
      <c r="R78" s="2" t="s">
        <v>389</v>
      </c>
      <c r="T78" s="2" t="s">
        <v>29</v>
      </c>
    </row>
    <row r="79" spans="2:20" x14ac:dyDescent="0.2">
      <c r="B79" s="2">
        <v>3212210166</v>
      </c>
      <c r="C79" s="2">
        <v>39</v>
      </c>
      <c r="D79" s="2" t="s">
        <v>30</v>
      </c>
      <c r="E79" s="2" t="s">
        <v>390</v>
      </c>
      <c r="F79" s="2" t="s">
        <v>44</v>
      </c>
      <c r="G79" s="2" t="s">
        <v>220</v>
      </c>
      <c r="P79" s="2" t="s">
        <v>391</v>
      </c>
      <c r="R79" s="2" t="s">
        <v>392</v>
      </c>
      <c r="T79" s="2" t="s">
        <v>29</v>
      </c>
    </row>
    <row r="80" spans="2:20" x14ac:dyDescent="0.2">
      <c r="B80" s="2">
        <v>3266510164</v>
      </c>
      <c r="C80" s="2">
        <v>60</v>
      </c>
      <c r="D80" s="2" t="s">
        <v>30</v>
      </c>
      <c r="E80" s="2" t="s">
        <v>393</v>
      </c>
      <c r="F80" s="2" t="s">
        <v>44</v>
      </c>
      <c r="G80" s="2" t="s">
        <v>220</v>
      </c>
      <c r="H80" s="2" t="s">
        <v>394</v>
      </c>
      <c r="K80" s="2" t="s">
        <v>395</v>
      </c>
      <c r="N80" s="2" t="s">
        <v>396</v>
      </c>
      <c r="O80" s="2" t="s">
        <v>394</v>
      </c>
      <c r="P80" s="2" t="s">
        <v>397</v>
      </c>
      <c r="R80" s="2" t="s">
        <v>398</v>
      </c>
      <c r="T80" s="2" t="s">
        <v>63</v>
      </c>
    </row>
    <row r="81" spans="2:20" x14ac:dyDescent="0.2">
      <c r="B81" s="2">
        <v>3354710424</v>
      </c>
      <c r="C81" s="2">
        <v>24</v>
      </c>
      <c r="D81" s="2" t="s">
        <v>30</v>
      </c>
      <c r="E81" s="2" t="s">
        <v>399</v>
      </c>
      <c r="F81" s="2" t="s">
        <v>22</v>
      </c>
      <c r="G81" s="2" t="s">
        <v>220</v>
      </c>
      <c r="P81" s="2" t="s">
        <v>400</v>
      </c>
      <c r="R81" s="2" t="s">
        <v>401</v>
      </c>
      <c r="T81" s="2" t="s">
        <v>29</v>
      </c>
    </row>
    <row r="82" spans="2:20" x14ac:dyDescent="0.2">
      <c r="B82" s="2">
        <v>9461110544</v>
      </c>
      <c r="C82" s="2">
        <v>3</v>
      </c>
      <c r="D82" s="2" t="s">
        <v>20</v>
      </c>
      <c r="E82" s="2" t="s">
        <v>402</v>
      </c>
      <c r="F82" s="2" t="s">
        <v>44</v>
      </c>
      <c r="G82" s="2" t="s">
        <v>220</v>
      </c>
      <c r="R82" s="2" t="s">
        <v>403</v>
      </c>
      <c r="T82" s="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58E9-6093-034B-8626-24170411BD90}">
  <dimension ref="A3:B6"/>
  <sheetViews>
    <sheetView workbookViewId="0">
      <selection activeCell="D31" sqref="D31"/>
    </sheetView>
  </sheetViews>
  <sheetFormatPr baseColWidth="10" defaultRowHeight="16" x14ac:dyDescent="0.2"/>
  <cols>
    <col min="1" max="1" width="13" bestFit="1" customWidth="1"/>
    <col min="2" max="2" width="19.5" bestFit="1" customWidth="1"/>
  </cols>
  <sheetData>
    <row r="3" spans="1:2" x14ac:dyDescent="0.2">
      <c r="A3" s="10" t="s">
        <v>407</v>
      </c>
      <c r="B3" t="s">
        <v>409</v>
      </c>
    </row>
    <row r="4" spans="1:2" x14ac:dyDescent="0.2">
      <c r="A4" s="11" t="s">
        <v>63</v>
      </c>
      <c r="B4">
        <v>18</v>
      </c>
    </row>
    <row r="5" spans="1:2" x14ac:dyDescent="0.2">
      <c r="A5" s="11" t="s">
        <v>29</v>
      </c>
      <c r="B5">
        <v>63</v>
      </c>
    </row>
    <row r="6" spans="1:2" x14ac:dyDescent="0.2">
      <c r="A6" s="11" t="s">
        <v>408</v>
      </c>
      <c r="B6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15BA-777D-954C-8818-AC7A66F14585}">
  <dimension ref="A1:S82"/>
  <sheetViews>
    <sheetView workbookViewId="0">
      <selection activeCell="E13" sqref="E13"/>
    </sheetView>
  </sheetViews>
  <sheetFormatPr baseColWidth="10" defaultColWidth="8.83203125" defaultRowHeight="15" x14ac:dyDescent="0.2"/>
  <cols>
    <col min="1" max="16384" width="8.83203125" style="2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404</v>
      </c>
      <c r="B2" s="2">
        <v>7810823</v>
      </c>
      <c r="C2" s="2">
        <v>53</v>
      </c>
      <c r="D2" s="2" t="s">
        <v>20</v>
      </c>
      <c r="E2" s="2" t="s">
        <v>21</v>
      </c>
      <c r="F2" s="2" t="s">
        <v>22</v>
      </c>
      <c r="G2" s="2" t="s">
        <v>23</v>
      </c>
      <c r="J2" s="2" t="s">
        <v>24</v>
      </c>
      <c r="K2" s="2" t="s">
        <v>25</v>
      </c>
      <c r="N2" s="2" t="s">
        <v>26</v>
      </c>
      <c r="P2" s="2" t="s">
        <v>27</v>
      </c>
      <c r="R2" s="2" t="s">
        <v>28</v>
      </c>
    </row>
    <row r="3" spans="1:19" x14ac:dyDescent="0.2">
      <c r="A3" s="2" t="s">
        <v>404</v>
      </c>
      <c r="B3" s="2">
        <v>2352010389</v>
      </c>
      <c r="C3" s="2">
        <v>20</v>
      </c>
      <c r="D3" s="2" t="s">
        <v>30</v>
      </c>
      <c r="E3" s="2" t="s">
        <v>31</v>
      </c>
      <c r="G3" s="2" t="s">
        <v>32</v>
      </c>
      <c r="H3" s="2" t="s">
        <v>33</v>
      </c>
      <c r="J3" s="2" t="s">
        <v>34</v>
      </c>
      <c r="N3" s="2" t="s">
        <v>35</v>
      </c>
      <c r="R3" s="2" t="s">
        <v>36</v>
      </c>
    </row>
    <row r="4" spans="1:19" x14ac:dyDescent="0.2">
      <c r="A4" s="2" t="s">
        <v>404</v>
      </c>
      <c r="B4" s="2">
        <v>244010017</v>
      </c>
      <c r="C4" s="2">
        <v>17</v>
      </c>
      <c r="D4" s="2" t="s">
        <v>20</v>
      </c>
      <c r="E4" s="2" t="s">
        <v>37</v>
      </c>
      <c r="G4" s="2" t="s">
        <v>38</v>
      </c>
      <c r="J4" s="2" t="s">
        <v>39</v>
      </c>
      <c r="K4" s="2" t="s">
        <v>40</v>
      </c>
      <c r="P4" s="2" t="s">
        <v>41</v>
      </c>
      <c r="R4" s="2" t="s">
        <v>42</v>
      </c>
    </row>
    <row r="5" spans="1:19" x14ac:dyDescent="0.2">
      <c r="A5" s="2" t="s">
        <v>404</v>
      </c>
      <c r="B5" s="2">
        <v>5359010662</v>
      </c>
      <c r="C5" s="2">
        <v>51</v>
      </c>
      <c r="D5" s="2" t="s">
        <v>30</v>
      </c>
      <c r="E5" s="2" t="s">
        <v>43</v>
      </c>
      <c r="F5" s="2" t="s">
        <v>44</v>
      </c>
      <c r="G5" s="2" t="s">
        <v>45</v>
      </c>
      <c r="N5" s="2" t="s">
        <v>46</v>
      </c>
      <c r="R5" s="2" t="s">
        <v>47</v>
      </c>
    </row>
    <row r="6" spans="1:19" x14ac:dyDescent="0.2">
      <c r="A6" s="2" t="s">
        <v>404</v>
      </c>
      <c r="B6" s="2">
        <v>261610479</v>
      </c>
      <c r="C6" s="2">
        <v>39</v>
      </c>
      <c r="D6" s="2" t="s">
        <v>20</v>
      </c>
      <c r="E6" s="2" t="s">
        <v>48</v>
      </c>
      <c r="G6" s="2" t="s">
        <v>49</v>
      </c>
      <c r="H6" s="2" t="s">
        <v>50</v>
      </c>
      <c r="J6" s="2" t="s">
        <v>51</v>
      </c>
      <c r="K6" s="2" t="s">
        <v>52</v>
      </c>
      <c r="N6" s="2" t="s">
        <v>53</v>
      </c>
      <c r="R6" s="2" t="s">
        <v>54</v>
      </c>
    </row>
    <row r="7" spans="1:19" x14ac:dyDescent="0.2">
      <c r="A7" s="2" t="s">
        <v>405</v>
      </c>
      <c r="B7" s="2">
        <v>378410775</v>
      </c>
      <c r="C7" s="2">
        <v>34</v>
      </c>
      <c r="D7" s="2" t="s">
        <v>30</v>
      </c>
      <c r="E7" s="2" t="s">
        <v>55</v>
      </c>
      <c r="G7" s="2" t="s">
        <v>56</v>
      </c>
      <c r="H7" s="2" t="s">
        <v>57</v>
      </c>
      <c r="J7" s="2" t="s">
        <v>58</v>
      </c>
      <c r="K7" s="2" t="s">
        <v>59</v>
      </c>
      <c r="N7" s="2" t="s">
        <v>60</v>
      </c>
      <c r="O7" s="2" t="s">
        <v>57</v>
      </c>
      <c r="P7" s="2" t="s">
        <v>61</v>
      </c>
      <c r="R7" s="2" t="s">
        <v>62</v>
      </c>
    </row>
    <row r="8" spans="1:19" x14ac:dyDescent="0.2">
      <c r="A8" s="2" t="s">
        <v>404</v>
      </c>
      <c r="B8" s="2">
        <v>1502010397</v>
      </c>
      <c r="C8" s="2">
        <v>16</v>
      </c>
      <c r="D8" s="2" t="s">
        <v>30</v>
      </c>
      <c r="E8" s="2" t="s">
        <v>64</v>
      </c>
      <c r="G8" s="2" t="s">
        <v>49</v>
      </c>
      <c r="J8" s="2" t="s">
        <v>65</v>
      </c>
      <c r="K8" s="2" t="s">
        <v>66</v>
      </c>
      <c r="R8" s="2" t="s">
        <v>67</v>
      </c>
    </row>
    <row r="9" spans="1:19" x14ac:dyDescent="0.2">
      <c r="A9" s="2" t="s">
        <v>404</v>
      </c>
      <c r="B9" s="2">
        <v>2353710622</v>
      </c>
      <c r="C9" s="2">
        <v>18</v>
      </c>
      <c r="D9" s="2" t="s">
        <v>20</v>
      </c>
      <c r="E9" s="2" t="s">
        <v>68</v>
      </c>
      <c r="G9" s="2" t="s">
        <v>49</v>
      </c>
      <c r="H9" s="2" t="s">
        <v>69</v>
      </c>
      <c r="J9" s="2" t="s">
        <v>70</v>
      </c>
      <c r="K9" s="2" t="s">
        <v>71</v>
      </c>
      <c r="N9" s="2" t="s">
        <v>72</v>
      </c>
      <c r="R9" s="2" t="s">
        <v>73</v>
      </c>
    </row>
    <row r="10" spans="1:19" x14ac:dyDescent="0.2">
      <c r="A10" s="2" t="s">
        <v>404</v>
      </c>
      <c r="B10" s="2">
        <v>1045410614</v>
      </c>
      <c r="C10" s="2">
        <v>40</v>
      </c>
      <c r="D10" s="2" t="s">
        <v>20</v>
      </c>
      <c r="E10" s="2" t="s">
        <v>74</v>
      </c>
      <c r="F10" s="2" t="s">
        <v>44</v>
      </c>
      <c r="G10" s="2" t="s">
        <v>75</v>
      </c>
      <c r="P10" s="2" t="s">
        <v>76</v>
      </c>
      <c r="R10" s="2" t="s">
        <v>77</v>
      </c>
    </row>
    <row r="11" spans="1:19" x14ac:dyDescent="0.2">
      <c r="A11" s="2" t="s">
        <v>405</v>
      </c>
      <c r="B11" s="2">
        <v>4803410866</v>
      </c>
      <c r="C11" s="2">
        <v>20</v>
      </c>
      <c r="D11" s="2" t="s">
        <v>20</v>
      </c>
      <c r="E11" s="2" t="s">
        <v>78</v>
      </c>
      <c r="F11" s="2" t="s">
        <v>44</v>
      </c>
      <c r="G11" s="2" t="s">
        <v>79</v>
      </c>
      <c r="O11" s="2" t="s">
        <v>80</v>
      </c>
      <c r="R11" s="2" t="s">
        <v>81</v>
      </c>
    </row>
    <row r="12" spans="1:19" x14ac:dyDescent="0.2">
      <c r="A12" s="2" t="s">
        <v>404</v>
      </c>
      <c r="B12" s="2">
        <v>384210994</v>
      </c>
      <c r="C12" s="2">
        <v>30</v>
      </c>
      <c r="D12" s="2" t="s">
        <v>30</v>
      </c>
      <c r="E12" s="2" t="s">
        <v>82</v>
      </c>
      <c r="F12" s="2" t="s">
        <v>44</v>
      </c>
      <c r="G12" s="2" t="s">
        <v>83</v>
      </c>
      <c r="H12" s="2" t="s">
        <v>84</v>
      </c>
      <c r="R12" s="2" t="s">
        <v>85</v>
      </c>
    </row>
    <row r="13" spans="1:19" x14ac:dyDescent="0.2">
      <c r="A13" s="2" t="s">
        <v>405</v>
      </c>
      <c r="B13" s="2">
        <v>77110497</v>
      </c>
      <c r="C13" s="2">
        <v>26</v>
      </c>
      <c r="D13" s="2" t="s">
        <v>30</v>
      </c>
      <c r="E13" s="2" t="s">
        <v>86</v>
      </c>
      <c r="G13" s="2" t="s">
        <v>87</v>
      </c>
      <c r="H13" s="2" t="s">
        <v>88</v>
      </c>
      <c r="J13" s="2" t="s">
        <v>89</v>
      </c>
      <c r="K13" s="2" t="s">
        <v>90</v>
      </c>
    </row>
    <row r="14" spans="1:19" x14ac:dyDescent="0.2">
      <c r="A14" s="2" t="s">
        <v>404</v>
      </c>
      <c r="B14" s="2">
        <v>35210409</v>
      </c>
      <c r="C14" s="2">
        <v>29</v>
      </c>
      <c r="D14" s="2" t="s">
        <v>30</v>
      </c>
      <c r="E14" s="2" t="s">
        <v>91</v>
      </c>
      <c r="G14" s="2" t="s">
        <v>92</v>
      </c>
      <c r="H14" s="2" t="s">
        <v>93</v>
      </c>
      <c r="J14" s="2" t="s">
        <v>94</v>
      </c>
      <c r="K14" s="2" t="s">
        <v>95</v>
      </c>
      <c r="P14" s="2" t="s">
        <v>96</v>
      </c>
      <c r="R14" s="2" t="s">
        <v>97</v>
      </c>
    </row>
    <row r="15" spans="1:19" x14ac:dyDescent="0.2">
      <c r="A15" s="2" t="s">
        <v>404</v>
      </c>
      <c r="B15" s="2">
        <v>153910595</v>
      </c>
      <c r="C15" s="2">
        <v>62</v>
      </c>
      <c r="D15" s="2" t="s">
        <v>30</v>
      </c>
      <c r="E15" s="2" t="s">
        <v>98</v>
      </c>
      <c r="G15" s="2" t="s">
        <v>99</v>
      </c>
      <c r="H15" s="2" t="s">
        <v>100</v>
      </c>
      <c r="J15" s="2" t="s">
        <v>101</v>
      </c>
      <c r="K15" s="2" t="s">
        <v>102</v>
      </c>
      <c r="N15" s="2" t="s">
        <v>103</v>
      </c>
      <c r="P15" s="2" t="s">
        <v>104</v>
      </c>
      <c r="R15" s="2" t="s">
        <v>105</v>
      </c>
    </row>
    <row r="16" spans="1:19" x14ac:dyDescent="0.2">
      <c r="A16" s="2" t="s">
        <v>404</v>
      </c>
      <c r="B16" s="2">
        <v>274210173</v>
      </c>
      <c r="C16" s="2">
        <v>77</v>
      </c>
      <c r="D16" s="2" t="s">
        <v>20</v>
      </c>
      <c r="E16" s="2" t="s">
        <v>106</v>
      </c>
      <c r="G16" s="2" t="s">
        <v>92</v>
      </c>
      <c r="H16" s="2" t="s">
        <v>107</v>
      </c>
      <c r="J16" s="2" t="s">
        <v>108</v>
      </c>
      <c r="K16" s="2" t="s">
        <v>109</v>
      </c>
      <c r="R16" s="2" t="s">
        <v>110</v>
      </c>
    </row>
    <row r="17" spans="1:18" x14ac:dyDescent="0.2">
      <c r="A17" s="2" t="s">
        <v>404</v>
      </c>
      <c r="B17" s="2">
        <v>436610288</v>
      </c>
      <c r="C17" s="2">
        <v>67</v>
      </c>
      <c r="D17" s="2" t="s">
        <v>20</v>
      </c>
      <c r="E17" s="2" t="s">
        <v>111</v>
      </c>
      <c r="G17" s="2" t="s">
        <v>92</v>
      </c>
      <c r="H17" s="2" t="s">
        <v>112</v>
      </c>
      <c r="J17" s="2" t="s">
        <v>113</v>
      </c>
      <c r="K17" s="2" t="s">
        <v>114</v>
      </c>
      <c r="N17" s="2" t="s">
        <v>115</v>
      </c>
      <c r="R17" s="2" t="s">
        <v>116</v>
      </c>
    </row>
    <row r="18" spans="1:18" x14ac:dyDescent="0.2">
      <c r="A18" s="2" t="s">
        <v>405</v>
      </c>
      <c r="B18" s="2">
        <v>503810366</v>
      </c>
      <c r="C18" s="2">
        <v>72</v>
      </c>
      <c r="D18" s="2" t="s">
        <v>30</v>
      </c>
      <c r="E18" s="2" t="s">
        <v>117</v>
      </c>
      <c r="F18" s="2" t="s">
        <v>44</v>
      </c>
      <c r="G18" s="2" t="s">
        <v>118</v>
      </c>
      <c r="H18" s="2" t="s">
        <v>119</v>
      </c>
      <c r="O18" s="2" t="s">
        <v>120</v>
      </c>
      <c r="R18" s="2" t="s">
        <v>121</v>
      </c>
    </row>
    <row r="19" spans="1:18" x14ac:dyDescent="0.2">
      <c r="A19" s="2" t="s">
        <v>404</v>
      </c>
      <c r="B19" s="2">
        <v>559910689</v>
      </c>
      <c r="C19" s="2">
        <v>34</v>
      </c>
      <c r="D19" s="2" t="s">
        <v>30</v>
      </c>
      <c r="E19" s="2" t="s">
        <v>122</v>
      </c>
      <c r="F19" s="2" t="s">
        <v>22</v>
      </c>
      <c r="G19" s="2" t="s">
        <v>92</v>
      </c>
      <c r="H19" s="2" t="s">
        <v>123</v>
      </c>
      <c r="K19" s="2" t="s">
        <v>124</v>
      </c>
      <c r="N19" s="2" t="s">
        <v>125</v>
      </c>
      <c r="P19" s="2" t="s">
        <v>126</v>
      </c>
      <c r="R19" s="2" t="s">
        <v>127</v>
      </c>
    </row>
    <row r="20" spans="1:18" x14ac:dyDescent="0.2">
      <c r="A20" s="2" t="s">
        <v>404</v>
      </c>
      <c r="B20" s="2">
        <v>644210241</v>
      </c>
      <c r="C20" s="2">
        <v>66</v>
      </c>
      <c r="D20" s="2" t="s">
        <v>30</v>
      </c>
      <c r="E20" s="2" t="s">
        <v>128</v>
      </c>
      <c r="F20" s="2" t="s">
        <v>44</v>
      </c>
      <c r="G20" s="2" t="s">
        <v>92</v>
      </c>
      <c r="H20" s="2" t="s">
        <v>129</v>
      </c>
      <c r="J20" s="2" t="s">
        <v>130</v>
      </c>
      <c r="K20" s="2" t="s">
        <v>131</v>
      </c>
      <c r="R20" s="2" t="s">
        <v>132</v>
      </c>
    </row>
    <row r="21" spans="1:18" x14ac:dyDescent="0.2">
      <c r="A21" s="2" t="s">
        <v>404</v>
      </c>
      <c r="B21" s="2">
        <v>812210207</v>
      </c>
      <c r="C21" s="2">
        <v>38</v>
      </c>
      <c r="D21" s="2" t="s">
        <v>20</v>
      </c>
      <c r="E21" s="2" t="s">
        <v>133</v>
      </c>
      <c r="F21" s="2" t="s">
        <v>44</v>
      </c>
      <c r="G21" s="2" t="s">
        <v>92</v>
      </c>
      <c r="N21" s="2" t="s">
        <v>134</v>
      </c>
      <c r="R21" s="2" t="s">
        <v>135</v>
      </c>
    </row>
    <row r="22" spans="1:18" x14ac:dyDescent="0.2">
      <c r="A22" s="2" t="s">
        <v>404</v>
      </c>
      <c r="B22" s="2">
        <v>925810409</v>
      </c>
      <c r="C22" s="2">
        <v>31</v>
      </c>
      <c r="D22" s="2" t="s">
        <v>20</v>
      </c>
      <c r="E22" s="2" t="s">
        <v>136</v>
      </c>
      <c r="G22" s="2" t="s">
        <v>137</v>
      </c>
      <c r="H22" s="2" t="s">
        <v>138</v>
      </c>
      <c r="J22" s="2" t="s">
        <v>139</v>
      </c>
      <c r="K22" s="2" t="s">
        <v>140</v>
      </c>
      <c r="N22" s="2" t="s">
        <v>141</v>
      </c>
      <c r="P22" s="2" t="s">
        <v>142</v>
      </c>
      <c r="R22" s="2" t="s">
        <v>143</v>
      </c>
    </row>
    <row r="23" spans="1:18" x14ac:dyDescent="0.2">
      <c r="A23" s="2" t="s">
        <v>404</v>
      </c>
      <c r="B23" s="2">
        <v>1054010302</v>
      </c>
      <c r="C23" s="2">
        <v>33</v>
      </c>
      <c r="D23" s="2" t="s">
        <v>20</v>
      </c>
      <c r="E23" s="2" t="s">
        <v>144</v>
      </c>
      <c r="G23" s="2" t="s">
        <v>145</v>
      </c>
      <c r="H23" s="2" t="s">
        <v>146</v>
      </c>
      <c r="J23" s="2" t="s">
        <v>147</v>
      </c>
      <c r="K23" s="2" t="s">
        <v>148</v>
      </c>
      <c r="N23" s="2" t="s">
        <v>149</v>
      </c>
      <c r="P23" s="2" t="s">
        <v>150</v>
      </c>
      <c r="R23" s="2" t="s">
        <v>151</v>
      </c>
    </row>
    <row r="24" spans="1:18" x14ac:dyDescent="0.2">
      <c r="A24" s="2" t="s">
        <v>404</v>
      </c>
      <c r="B24" s="2">
        <v>1525510677</v>
      </c>
      <c r="C24" s="2">
        <v>39</v>
      </c>
      <c r="D24" s="2" t="s">
        <v>30</v>
      </c>
      <c r="E24" s="2" t="s">
        <v>152</v>
      </c>
      <c r="G24" s="2" t="s">
        <v>145</v>
      </c>
      <c r="H24" s="2" t="s">
        <v>153</v>
      </c>
      <c r="J24" s="2" t="s">
        <v>154</v>
      </c>
      <c r="K24" s="2" t="s">
        <v>155</v>
      </c>
      <c r="N24" s="2" t="s">
        <v>156</v>
      </c>
      <c r="P24" s="2" t="s">
        <v>157</v>
      </c>
      <c r="R24" s="2" t="s">
        <v>158</v>
      </c>
    </row>
    <row r="25" spans="1:18" x14ac:dyDescent="0.2">
      <c r="A25" s="2" t="s">
        <v>404</v>
      </c>
      <c r="B25" s="2">
        <v>1721910803</v>
      </c>
      <c r="C25" s="2">
        <v>34</v>
      </c>
      <c r="D25" s="2" t="s">
        <v>30</v>
      </c>
      <c r="E25" s="2" t="s">
        <v>159</v>
      </c>
      <c r="F25" s="2" t="s">
        <v>22</v>
      </c>
      <c r="G25" s="2" t="s">
        <v>160</v>
      </c>
      <c r="R25" s="2" t="s">
        <v>161</v>
      </c>
    </row>
    <row r="26" spans="1:18" x14ac:dyDescent="0.2">
      <c r="A26" s="2" t="s">
        <v>404</v>
      </c>
      <c r="B26" s="2">
        <v>1985010365</v>
      </c>
      <c r="C26" s="2">
        <v>72</v>
      </c>
      <c r="D26" s="2" t="s">
        <v>30</v>
      </c>
      <c r="E26" s="2" t="s">
        <v>162</v>
      </c>
      <c r="F26" s="2" t="s">
        <v>22</v>
      </c>
      <c r="G26" s="2" t="s">
        <v>92</v>
      </c>
      <c r="K26" s="2" t="s">
        <v>163</v>
      </c>
      <c r="N26" s="2" t="s">
        <v>164</v>
      </c>
      <c r="P26" s="2" t="s">
        <v>165</v>
      </c>
      <c r="R26" s="2" t="s">
        <v>166</v>
      </c>
    </row>
    <row r="27" spans="1:18" x14ac:dyDescent="0.2">
      <c r="A27" s="2" t="s">
        <v>404</v>
      </c>
      <c r="B27" s="2">
        <v>2020510974</v>
      </c>
      <c r="C27" s="2">
        <v>55</v>
      </c>
      <c r="D27" s="2" t="s">
        <v>30</v>
      </c>
      <c r="E27" s="2" t="s">
        <v>167</v>
      </c>
      <c r="F27" s="2" t="s">
        <v>22</v>
      </c>
      <c r="G27" s="2" t="s">
        <v>92</v>
      </c>
      <c r="H27" s="2" t="s">
        <v>168</v>
      </c>
      <c r="J27" s="2" t="s">
        <v>169</v>
      </c>
      <c r="K27" s="2" t="s">
        <v>170</v>
      </c>
      <c r="P27" s="2" t="s">
        <v>171</v>
      </c>
      <c r="R27" s="2" t="s">
        <v>172</v>
      </c>
    </row>
    <row r="28" spans="1:18" x14ac:dyDescent="0.2">
      <c r="A28" s="2" t="s">
        <v>404</v>
      </c>
      <c r="B28" s="2">
        <v>2520610627</v>
      </c>
      <c r="C28" s="2">
        <v>44</v>
      </c>
      <c r="D28" s="2" t="s">
        <v>20</v>
      </c>
      <c r="E28" s="2" t="s">
        <v>159</v>
      </c>
      <c r="F28" s="2" t="s">
        <v>22</v>
      </c>
      <c r="G28" s="2" t="s">
        <v>92</v>
      </c>
      <c r="P28" s="2" t="s">
        <v>173</v>
      </c>
      <c r="R28" s="2" t="s">
        <v>174</v>
      </c>
    </row>
    <row r="29" spans="1:18" x14ac:dyDescent="0.2">
      <c r="A29" s="2" t="s">
        <v>404</v>
      </c>
      <c r="B29" s="2">
        <v>3954810544</v>
      </c>
      <c r="C29" s="2">
        <v>58</v>
      </c>
      <c r="D29" s="2" t="s">
        <v>30</v>
      </c>
      <c r="E29" s="2" t="s">
        <v>175</v>
      </c>
      <c r="G29" s="2" t="s">
        <v>176</v>
      </c>
      <c r="H29" s="2" t="s">
        <v>177</v>
      </c>
      <c r="J29" s="2" t="s">
        <v>178</v>
      </c>
      <c r="K29" s="2" t="s">
        <v>179</v>
      </c>
      <c r="N29" s="2" t="s">
        <v>180</v>
      </c>
      <c r="P29" s="2" t="s">
        <v>181</v>
      </c>
      <c r="R29" s="2" t="s">
        <v>182</v>
      </c>
    </row>
    <row r="30" spans="1:18" x14ac:dyDescent="0.2">
      <c r="A30" s="2" t="s">
        <v>405</v>
      </c>
      <c r="B30" s="2">
        <v>726710461</v>
      </c>
      <c r="C30" s="2">
        <v>47</v>
      </c>
      <c r="D30" s="2" t="s">
        <v>30</v>
      </c>
      <c r="E30" s="2" t="s">
        <v>183</v>
      </c>
      <c r="F30" s="2" t="s">
        <v>22</v>
      </c>
      <c r="G30" s="2" t="s">
        <v>184</v>
      </c>
      <c r="H30" s="2" t="s">
        <v>185</v>
      </c>
      <c r="K30" s="2" t="s">
        <v>186</v>
      </c>
      <c r="O30" s="2" t="s">
        <v>187</v>
      </c>
      <c r="P30" s="2" t="s">
        <v>188</v>
      </c>
      <c r="R30" s="2" t="s">
        <v>189</v>
      </c>
    </row>
    <row r="31" spans="1:18" x14ac:dyDescent="0.2">
      <c r="A31" s="2" t="s">
        <v>405</v>
      </c>
      <c r="B31" s="2">
        <v>833410289</v>
      </c>
      <c r="C31" s="2">
        <v>24</v>
      </c>
      <c r="D31" s="2" t="s">
        <v>20</v>
      </c>
      <c r="E31" s="2" t="s">
        <v>190</v>
      </c>
      <c r="F31" s="2" t="s">
        <v>22</v>
      </c>
      <c r="G31" s="2" t="s">
        <v>191</v>
      </c>
      <c r="O31" s="2" t="s">
        <v>192</v>
      </c>
      <c r="P31" s="2" t="s">
        <v>193</v>
      </c>
      <c r="R31" s="2" t="s">
        <v>194</v>
      </c>
    </row>
    <row r="32" spans="1:18" x14ac:dyDescent="0.2">
      <c r="A32" s="2" t="s">
        <v>405</v>
      </c>
      <c r="B32" s="2">
        <v>971510284</v>
      </c>
      <c r="C32" s="2">
        <v>60</v>
      </c>
      <c r="D32" s="2" t="s">
        <v>30</v>
      </c>
      <c r="E32" s="2" t="s">
        <v>195</v>
      </c>
      <c r="F32" s="2" t="s">
        <v>22</v>
      </c>
      <c r="G32" s="2" t="s">
        <v>191</v>
      </c>
      <c r="O32" s="2" t="s">
        <v>196</v>
      </c>
      <c r="P32" s="2" t="s">
        <v>197</v>
      </c>
      <c r="R32" s="2" t="s">
        <v>198</v>
      </c>
    </row>
    <row r="33" spans="1:18" x14ac:dyDescent="0.2">
      <c r="A33" s="2" t="s">
        <v>405</v>
      </c>
      <c r="B33" s="2">
        <v>1094310233</v>
      </c>
      <c r="C33" s="2">
        <v>4</v>
      </c>
      <c r="D33" s="2" t="s">
        <v>30</v>
      </c>
      <c r="E33" s="2" t="s">
        <v>199</v>
      </c>
      <c r="F33" s="2" t="s">
        <v>22</v>
      </c>
      <c r="G33" s="2" t="s">
        <v>191</v>
      </c>
      <c r="N33" s="2" t="s">
        <v>200</v>
      </c>
      <c r="O33" s="2" t="s">
        <v>196</v>
      </c>
      <c r="P33" s="2" t="s">
        <v>201</v>
      </c>
      <c r="R33" s="2" t="s">
        <v>202</v>
      </c>
    </row>
    <row r="34" spans="1:18" x14ac:dyDescent="0.2">
      <c r="A34" s="2" t="s">
        <v>405</v>
      </c>
      <c r="B34" s="2">
        <v>38410333</v>
      </c>
      <c r="C34" s="2">
        <v>33</v>
      </c>
      <c r="D34" s="2" t="s">
        <v>20</v>
      </c>
      <c r="E34" s="2" t="s">
        <v>203</v>
      </c>
      <c r="F34" s="2" t="s">
        <v>22</v>
      </c>
      <c r="G34" s="2" t="s">
        <v>204</v>
      </c>
      <c r="K34" s="2" t="s">
        <v>205</v>
      </c>
      <c r="O34" s="2" t="s">
        <v>206</v>
      </c>
      <c r="P34" s="2" t="s">
        <v>207</v>
      </c>
      <c r="R34" s="2" t="s">
        <v>208</v>
      </c>
    </row>
    <row r="35" spans="1:18" x14ac:dyDescent="0.2">
      <c r="A35" s="2" t="s">
        <v>404</v>
      </c>
      <c r="B35" s="2">
        <v>3525210465</v>
      </c>
      <c r="C35" s="2">
        <v>56</v>
      </c>
      <c r="D35" s="2" t="s">
        <v>30</v>
      </c>
      <c r="E35" s="2" t="s">
        <v>209</v>
      </c>
      <c r="G35" s="2" t="s">
        <v>210</v>
      </c>
      <c r="J35" s="2" t="s">
        <v>211</v>
      </c>
      <c r="K35" s="2" t="s">
        <v>212</v>
      </c>
      <c r="R35" s="2" t="s">
        <v>213</v>
      </c>
    </row>
    <row r="36" spans="1:18" x14ac:dyDescent="0.2">
      <c r="A36" s="2" t="s">
        <v>404</v>
      </c>
      <c r="B36" s="2">
        <v>2010394</v>
      </c>
      <c r="C36" s="2">
        <v>33</v>
      </c>
      <c r="D36" s="2" t="s">
        <v>30</v>
      </c>
      <c r="E36" s="2" t="s">
        <v>214</v>
      </c>
      <c r="F36" s="2" t="s">
        <v>22</v>
      </c>
      <c r="G36" s="2" t="s">
        <v>215</v>
      </c>
      <c r="K36" s="2" t="s">
        <v>216</v>
      </c>
      <c r="P36" s="2" t="s">
        <v>217</v>
      </c>
      <c r="R36" s="2" t="s">
        <v>218</v>
      </c>
    </row>
    <row r="37" spans="1:18" x14ac:dyDescent="0.2">
      <c r="A37" s="2" t="s">
        <v>404</v>
      </c>
      <c r="B37" s="2">
        <v>62910668</v>
      </c>
      <c r="C37" s="2">
        <v>59</v>
      </c>
      <c r="D37" s="2" t="s">
        <v>30</v>
      </c>
      <c r="E37" s="2" t="s">
        <v>219</v>
      </c>
      <c r="F37" s="2" t="s">
        <v>22</v>
      </c>
      <c r="G37" s="2" t="s">
        <v>220</v>
      </c>
      <c r="H37" s="2" t="s">
        <v>221</v>
      </c>
      <c r="N37" s="2" t="s">
        <v>222</v>
      </c>
      <c r="P37" s="2" t="s">
        <v>223</v>
      </c>
      <c r="R37" s="2" t="s">
        <v>224</v>
      </c>
    </row>
    <row r="38" spans="1:18" x14ac:dyDescent="0.2">
      <c r="A38" s="2" t="s">
        <v>404</v>
      </c>
      <c r="B38" s="2">
        <v>75310568</v>
      </c>
      <c r="C38" s="2">
        <v>54</v>
      </c>
      <c r="D38" s="2" t="s">
        <v>20</v>
      </c>
      <c r="E38" s="2" t="s">
        <v>225</v>
      </c>
      <c r="F38" s="2" t="s">
        <v>44</v>
      </c>
      <c r="G38" s="2" t="s">
        <v>220</v>
      </c>
      <c r="H38" s="2" t="s">
        <v>226</v>
      </c>
      <c r="J38" s="2" t="s">
        <v>227</v>
      </c>
      <c r="K38" s="2" t="s">
        <v>228</v>
      </c>
      <c r="N38" s="2" t="s">
        <v>229</v>
      </c>
      <c r="R38" s="2" t="s">
        <v>230</v>
      </c>
    </row>
    <row r="39" spans="1:18" x14ac:dyDescent="0.2">
      <c r="A39" s="2" t="s">
        <v>405</v>
      </c>
      <c r="B39" s="2">
        <v>120310166</v>
      </c>
      <c r="C39" s="2">
        <v>33</v>
      </c>
      <c r="D39" s="2" t="s">
        <v>20</v>
      </c>
      <c r="E39" s="2" t="s">
        <v>231</v>
      </c>
      <c r="F39" s="2" t="s">
        <v>44</v>
      </c>
      <c r="G39" s="2" t="s">
        <v>220</v>
      </c>
      <c r="H39" s="2" t="s">
        <v>232</v>
      </c>
      <c r="J39" s="2" t="s">
        <v>233</v>
      </c>
      <c r="K39" s="2" t="s">
        <v>234</v>
      </c>
      <c r="O39" s="2" t="s">
        <v>235</v>
      </c>
      <c r="P39" s="2" t="s">
        <v>236</v>
      </c>
      <c r="R39" s="2" t="s">
        <v>237</v>
      </c>
    </row>
    <row r="40" spans="1:18" x14ac:dyDescent="0.2">
      <c r="A40" s="2" t="s">
        <v>404</v>
      </c>
      <c r="B40" s="2">
        <v>319810053</v>
      </c>
      <c r="C40" s="2">
        <v>13</v>
      </c>
      <c r="D40" s="2" t="s">
        <v>30</v>
      </c>
      <c r="E40" s="2" t="s">
        <v>238</v>
      </c>
      <c r="F40" s="2" t="s">
        <v>22</v>
      </c>
      <c r="G40" s="2" t="s">
        <v>215</v>
      </c>
      <c r="N40" s="2" t="s">
        <v>239</v>
      </c>
      <c r="P40" s="2" t="s">
        <v>240</v>
      </c>
      <c r="R40" s="2" t="s">
        <v>241</v>
      </c>
    </row>
    <row r="41" spans="1:18" x14ac:dyDescent="0.2">
      <c r="A41" s="2" t="s">
        <v>404</v>
      </c>
      <c r="B41" s="2">
        <v>341210634</v>
      </c>
      <c r="C41" s="2">
        <v>17</v>
      </c>
      <c r="D41" s="2" t="s">
        <v>30</v>
      </c>
      <c r="E41" s="2" t="s">
        <v>242</v>
      </c>
      <c r="F41" s="2" t="s">
        <v>44</v>
      </c>
      <c r="G41" s="2" t="s">
        <v>220</v>
      </c>
      <c r="K41" s="2" t="s">
        <v>243</v>
      </c>
      <c r="P41" s="2" t="s">
        <v>244</v>
      </c>
      <c r="R41" s="2" t="s">
        <v>245</v>
      </c>
    </row>
    <row r="42" spans="1:18" x14ac:dyDescent="0.2">
      <c r="A42" s="2" t="s">
        <v>404</v>
      </c>
      <c r="B42" s="2">
        <v>362110891</v>
      </c>
      <c r="C42" s="2">
        <v>40</v>
      </c>
      <c r="D42" s="2" t="s">
        <v>30</v>
      </c>
      <c r="E42" s="2" t="s">
        <v>246</v>
      </c>
      <c r="G42" s="2" t="s">
        <v>220</v>
      </c>
      <c r="H42" s="2" t="s">
        <v>247</v>
      </c>
      <c r="J42" s="2" t="s">
        <v>248</v>
      </c>
      <c r="K42" s="2" t="s">
        <v>249</v>
      </c>
      <c r="P42" s="2" t="s">
        <v>250</v>
      </c>
      <c r="R42" s="2" t="s">
        <v>251</v>
      </c>
    </row>
    <row r="43" spans="1:18" x14ac:dyDescent="0.2">
      <c r="A43" s="2" t="s">
        <v>405</v>
      </c>
      <c r="B43" s="2">
        <v>370010311</v>
      </c>
      <c r="C43" s="2">
        <v>79</v>
      </c>
      <c r="D43" s="2" t="s">
        <v>30</v>
      </c>
      <c r="E43" s="2" t="s">
        <v>252</v>
      </c>
      <c r="F43" s="2" t="s">
        <v>44</v>
      </c>
      <c r="G43" s="2" t="s">
        <v>220</v>
      </c>
      <c r="K43" s="2" t="s">
        <v>253</v>
      </c>
    </row>
    <row r="44" spans="1:18" x14ac:dyDescent="0.2">
      <c r="A44" s="2" t="s">
        <v>404</v>
      </c>
      <c r="B44" s="2">
        <v>461910966</v>
      </c>
      <c r="C44" s="2">
        <v>31</v>
      </c>
      <c r="D44" s="2" t="s">
        <v>30</v>
      </c>
      <c r="E44" s="2" t="s">
        <v>254</v>
      </c>
      <c r="F44" s="2" t="s">
        <v>44</v>
      </c>
      <c r="G44" s="2" t="s">
        <v>220</v>
      </c>
      <c r="R44" s="2" t="s">
        <v>255</v>
      </c>
    </row>
    <row r="45" spans="1:18" x14ac:dyDescent="0.2">
      <c r="A45" s="2" t="s">
        <v>405</v>
      </c>
      <c r="B45" s="2">
        <v>515410701</v>
      </c>
      <c r="C45" s="2">
        <v>58</v>
      </c>
      <c r="D45" s="2" t="s">
        <v>20</v>
      </c>
      <c r="E45" s="2" t="s">
        <v>256</v>
      </c>
      <c r="F45" s="2" t="s">
        <v>44</v>
      </c>
      <c r="G45" s="2" t="s">
        <v>257</v>
      </c>
      <c r="K45" s="2" t="s">
        <v>258</v>
      </c>
      <c r="O45" s="2" t="s">
        <v>259</v>
      </c>
      <c r="P45" s="2" t="s">
        <v>260</v>
      </c>
      <c r="R45" s="2" t="s">
        <v>261</v>
      </c>
    </row>
    <row r="46" spans="1:18" x14ac:dyDescent="0.2">
      <c r="A46" s="2" t="s">
        <v>405</v>
      </c>
      <c r="B46" s="2">
        <v>603810956</v>
      </c>
      <c r="C46" s="2">
        <v>18</v>
      </c>
      <c r="D46" s="2" t="s">
        <v>20</v>
      </c>
      <c r="E46" s="2" t="s">
        <v>262</v>
      </c>
      <c r="F46" s="2" t="s">
        <v>44</v>
      </c>
      <c r="G46" s="2" t="s">
        <v>220</v>
      </c>
      <c r="K46" s="2" t="s">
        <v>263</v>
      </c>
    </row>
    <row r="47" spans="1:18" x14ac:dyDescent="0.2">
      <c r="A47" s="2" t="s">
        <v>404</v>
      </c>
      <c r="B47" s="2">
        <v>689210365</v>
      </c>
      <c r="C47" s="2">
        <v>71</v>
      </c>
      <c r="D47" s="2" t="s">
        <v>30</v>
      </c>
      <c r="E47" s="2" t="s">
        <v>264</v>
      </c>
      <c r="F47" s="2" t="s">
        <v>22</v>
      </c>
      <c r="G47" s="2" t="s">
        <v>215</v>
      </c>
      <c r="H47" s="2" t="s">
        <v>265</v>
      </c>
      <c r="K47" s="2" t="s">
        <v>266</v>
      </c>
      <c r="N47" s="2" t="s">
        <v>267</v>
      </c>
      <c r="P47" s="2" t="s">
        <v>268</v>
      </c>
      <c r="R47" s="2" t="s">
        <v>269</v>
      </c>
    </row>
    <row r="48" spans="1:18" x14ac:dyDescent="0.2">
      <c r="A48" s="2" t="s">
        <v>404</v>
      </c>
      <c r="B48" s="2">
        <v>726310128</v>
      </c>
      <c r="C48" s="2">
        <v>17</v>
      </c>
      <c r="D48" s="2" t="s">
        <v>20</v>
      </c>
      <c r="E48" s="2" t="s">
        <v>270</v>
      </c>
      <c r="F48" s="2" t="s">
        <v>44</v>
      </c>
      <c r="G48" s="2" t="s">
        <v>220</v>
      </c>
      <c r="N48" s="2" t="s">
        <v>271</v>
      </c>
      <c r="R48" s="2" t="s">
        <v>272</v>
      </c>
    </row>
    <row r="49" spans="1:18" x14ac:dyDescent="0.2">
      <c r="A49" s="2" t="s">
        <v>404</v>
      </c>
      <c r="B49" s="2">
        <v>740710960</v>
      </c>
      <c r="C49" s="2">
        <v>12</v>
      </c>
      <c r="D49" s="2" t="s">
        <v>20</v>
      </c>
      <c r="E49" s="2" t="s">
        <v>273</v>
      </c>
      <c r="F49" s="2" t="s">
        <v>44</v>
      </c>
      <c r="G49" s="2" t="s">
        <v>220</v>
      </c>
      <c r="N49" s="2" t="s">
        <v>274</v>
      </c>
      <c r="P49" s="2" t="s">
        <v>275</v>
      </c>
      <c r="R49" s="2" t="s">
        <v>276</v>
      </c>
    </row>
    <row r="50" spans="1:18" x14ac:dyDescent="0.2">
      <c r="A50" s="2" t="s">
        <v>404</v>
      </c>
      <c r="B50" s="2">
        <v>741610129</v>
      </c>
      <c r="C50" s="2">
        <v>24</v>
      </c>
      <c r="D50" s="2" t="s">
        <v>30</v>
      </c>
      <c r="E50" s="2" t="s">
        <v>277</v>
      </c>
      <c r="F50" s="2" t="s">
        <v>44</v>
      </c>
      <c r="G50" s="2" t="s">
        <v>220</v>
      </c>
      <c r="H50" s="2" t="s">
        <v>278</v>
      </c>
      <c r="K50" s="2" t="s">
        <v>279</v>
      </c>
      <c r="N50" s="2" t="s">
        <v>280</v>
      </c>
      <c r="P50" s="2" t="s">
        <v>281</v>
      </c>
      <c r="R50" s="2" t="s">
        <v>282</v>
      </c>
    </row>
    <row r="51" spans="1:18" x14ac:dyDescent="0.2">
      <c r="A51" s="2" t="s">
        <v>405</v>
      </c>
      <c r="B51" s="2">
        <v>795410971</v>
      </c>
      <c r="C51" s="2">
        <v>2</v>
      </c>
      <c r="D51" s="2" t="s">
        <v>20</v>
      </c>
      <c r="E51" s="2" t="s">
        <v>283</v>
      </c>
      <c r="F51" s="2" t="s">
        <v>44</v>
      </c>
      <c r="G51" s="2" t="s">
        <v>220</v>
      </c>
      <c r="N51" s="2" t="s">
        <v>284</v>
      </c>
    </row>
    <row r="52" spans="1:18" x14ac:dyDescent="0.2">
      <c r="A52" s="2" t="s">
        <v>404</v>
      </c>
      <c r="B52" s="2">
        <v>818210372</v>
      </c>
      <c r="C52" s="2">
        <v>57</v>
      </c>
      <c r="D52" s="2" t="s">
        <v>30</v>
      </c>
      <c r="E52" s="2" t="s">
        <v>285</v>
      </c>
      <c r="F52" s="2" t="s">
        <v>44</v>
      </c>
      <c r="G52" s="2" t="s">
        <v>220</v>
      </c>
      <c r="K52" s="2" t="s">
        <v>286</v>
      </c>
      <c r="N52" s="2" t="s">
        <v>287</v>
      </c>
      <c r="R52" s="2" t="s">
        <v>288</v>
      </c>
    </row>
    <row r="53" spans="1:18" x14ac:dyDescent="0.2">
      <c r="A53" s="2" t="s">
        <v>404</v>
      </c>
      <c r="B53" s="2">
        <v>826210737</v>
      </c>
      <c r="C53" s="2">
        <v>3</v>
      </c>
      <c r="D53" s="2" t="s">
        <v>20</v>
      </c>
      <c r="E53" s="2" t="s">
        <v>289</v>
      </c>
      <c r="F53" s="2" t="s">
        <v>44</v>
      </c>
      <c r="G53" s="2" t="s">
        <v>220</v>
      </c>
      <c r="R53" s="2" t="s">
        <v>290</v>
      </c>
    </row>
    <row r="54" spans="1:18" x14ac:dyDescent="0.2">
      <c r="A54" s="2" t="s">
        <v>405</v>
      </c>
      <c r="B54" s="2">
        <v>870510178</v>
      </c>
      <c r="C54" s="2">
        <v>60</v>
      </c>
      <c r="D54" s="2" t="s">
        <v>30</v>
      </c>
      <c r="E54" s="2" t="s">
        <v>291</v>
      </c>
      <c r="F54" s="2" t="s">
        <v>22</v>
      </c>
      <c r="G54" s="2" t="s">
        <v>220</v>
      </c>
      <c r="O54" s="2" t="s">
        <v>292</v>
      </c>
      <c r="P54" s="2" t="s">
        <v>293</v>
      </c>
      <c r="R54" s="2" t="s">
        <v>294</v>
      </c>
    </row>
    <row r="55" spans="1:18" x14ac:dyDescent="0.2">
      <c r="A55" s="2" t="s">
        <v>404</v>
      </c>
      <c r="B55" s="2">
        <v>888710791</v>
      </c>
      <c r="C55" s="2">
        <v>12</v>
      </c>
      <c r="D55" s="2" t="s">
        <v>20</v>
      </c>
      <c r="E55" s="2" t="s">
        <v>295</v>
      </c>
      <c r="F55" s="2" t="s">
        <v>22</v>
      </c>
      <c r="G55" s="2" t="s">
        <v>220</v>
      </c>
      <c r="N55" s="2" t="s">
        <v>296</v>
      </c>
      <c r="R55" s="2" t="s">
        <v>297</v>
      </c>
    </row>
    <row r="56" spans="1:18" x14ac:dyDescent="0.2">
      <c r="A56" s="2" t="s">
        <v>405</v>
      </c>
      <c r="B56" s="2">
        <v>932610840</v>
      </c>
      <c r="C56" s="2">
        <v>13</v>
      </c>
      <c r="D56" s="2" t="s">
        <v>20</v>
      </c>
      <c r="E56" s="2" t="s">
        <v>298</v>
      </c>
      <c r="F56" s="2" t="s">
        <v>44</v>
      </c>
      <c r="G56" s="2" t="s">
        <v>220</v>
      </c>
      <c r="H56" s="2" t="s">
        <v>299</v>
      </c>
      <c r="N56" s="2" t="s">
        <v>300</v>
      </c>
      <c r="O56" s="2" t="s">
        <v>299</v>
      </c>
      <c r="R56" s="2" t="s">
        <v>301</v>
      </c>
    </row>
    <row r="57" spans="1:18" x14ac:dyDescent="0.2">
      <c r="A57" s="2" t="s">
        <v>404</v>
      </c>
      <c r="B57" s="2">
        <v>954410764</v>
      </c>
      <c r="C57" s="2">
        <v>19</v>
      </c>
      <c r="D57" s="2" t="s">
        <v>20</v>
      </c>
      <c r="E57" s="2" t="s">
        <v>302</v>
      </c>
      <c r="F57" s="2" t="s">
        <v>22</v>
      </c>
      <c r="G57" s="2" t="s">
        <v>220</v>
      </c>
      <c r="N57" s="2" t="s">
        <v>303</v>
      </c>
      <c r="R57" s="2" t="s">
        <v>304</v>
      </c>
    </row>
    <row r="58" spans="1:18" x14ac:dyDescent="0.2">
      <c r="A58" s="2" t="s">
        <v>404</v>
      </c>
      <c r="B58" s="2">
        <v>959010761</v>
      </c>
      <c r="C58" s="2">
        <v>9</v>
      </c>
      <c r="D58" s="2" t="s">
        <v>20</v>
      </c>
      <c r="E58" s="2" t="s">
        <v>305</v>
      </c>
      <c r="F58" s="2" t="s">
        <v>44</v>
      </c>
      <c r="G58" s="2" t="s">
        <v>220</v>
      </c>
      <c r="H58" s="2" t="s">
        <v>306</v>
      </c>
      <c r="P58" s="2" t="s">
        <v>307</v>
      </c>
      <c r="R58" s="2" t="s">
        <v>308</v>
      </c>
    </row>
    <row r="59" spans="1:18" x14ac:dyDescent="0.2">
      <c r="A59" s="2" t="s">
        <v>405</v>
      </c>
      <c r="B59" s="2">
        <v>1084310679</v>
      </c>
      <c r="C59" s="2">
        <v>14</v>
      </c>
      <c r="D59" s="2" t="s">
        <v>30</v>
      </c>
      <c r="E59" s="2" t="s">
        <v>309</v>
      </c>
      <c r="F59" s="2" t="s">
        <v>44</v>
      </c>
      <c r="G59" s="2" t="s">
        <v>220</v>
      </c>
      <c r="O59" s="2" t="s">
        <v>310</v>
      </c>
      <c r="R59" s="2" t="s">
        <v>311</v>
      </c>
    </row>
    <row r="60" spans="1:18" x14ac:dyDescent="0.2">
      <c r="A60" s="2" t="s">
        <v>404</v>
      </c>
      <c r="B60" s="2">
        <v>1084510775</v>
      </c>
      <c r="C60" s="2">
        <v>14</v>
      </c>
      <c r="D60" s="2" t="s">
        <v>20</v>
      </c>
      <c r="E60" s="2" t="s">
        <v>312</v>
      </c>
      <c r="F60" s="2" t="s">
        <v>44</v>
      </c>
      <c r="G60" s="2" t="s">
        <v>220</v>
      </c>
      <c r="H60" s="2" t="s">
        <v>313</v>
      </c>
      <c r="K60" s="2" t="s">
        <v>314</v>
      </c>
      <c r="N60" s="2" t="s">
        <v>315</v>
      </c>
      <c r="P60" s="2" t="s">
        <v>316</v>
      </c>
      <c r="R60" s="2" t="s">
        <v>317</v>
      </c>
    </row>
    <row r="61" spans="1:18" x14ac:dyDescent="0.2">
      <c r="A61" s="2" t="s">
        <v>404</v>
      </c>
      <c r="B61" s="2">
        <v>1086910999</v>
      </c>
      <c r="C61" s="2">
        <v>27</v>
      </c>
      <c r="D61" s="2" t="s">
        <v>30</v>
      </c>
      <c r="E61" s="2" t="s">
        <v>318</v>
      </c>
      <c r="F61" s="2" t="s">
        <v>44</v>
      </c>
      <c r="G61" s="2" t="s">
        <v>220</v>
      </c>
      <c r="N61" s="2" t="s">
        <v>319</v>
      </c>
      <c r="R61" s="2" t="s">
        <v>320</v>
      </c>
    </row>
    <row r="62" spans="1:18" x14ac:dyDescent="0.2">
      <c r="A62" s="2" t="s">
        <v>404</v>
      </c>
      <c r="B62" s="2">
        <v>1377210629</v>
      </c>
      <c r="C62" s="2">
        <v>50</v>
      </c>
      <c r="D62" s="2" t="s">
        <v>20</v>
      </c>
      <c r="E62" s="2" t="s">
        <v>321</v>
      </c>
      <c r="F62" s="2" t="s">
        <v>44</v>
      </c>
      <c r="G62" s="2" t="s">
        <v>220</v>
      </c>
      <c r="H62" s="2" t="s">
        <v>322</v>
      </c>
      <c r="N62" s="2" t="s">
        <v>323</v>
      </c>
      <c r="R62" s="2" t="s">
        <v>324</v>
      </c>
    </row>
    <row r="63" spans="1:18" x14ac:dyDescent="0.2">
      <c r="A63" s="2" t="s">
        <v>404</v>
      </c>
      <c r="B63" s="2">
        <v>1559910397</v>
      </c>
      <c r="C63" s="2">
        <v>13</v>
      </c>
      <c r="D63" s="2" t="s">
        <v>30</v>
      </c>
      <c r="E63" s="2" t="s">
        <v>325</v>
      </c>
      <c r="F63" s="2" t="s">
        <v>22</v>
      </c>
      <c r="G63" s="2" t="s">
        <v>220</v>
      </c>
      <c r="K63" s="2" t="s">
        <v>326</v>
      </c>
      <c r="N63" s="2" t="s">
        <v>327</v>
      </c>
      <c r="P63" s="2" t="s">
        <v>328</v>
      </c>
      <c r="R63" s="2" t="s">
        <v>329</v>
      </c>
    </row>
    <row r="64" spans="1:18" x14ac:dyDescent="0.2">
      <c r="A64" s="2" t="s">
        <v>404</v>
      </c>
      <c r="B64" s="2">
        <v>1602410226</v>
      </c>
      <c r="C64" s="2">
        <v>27</v>
      </c>
      <c r="D64" s="2" t="s">
        <v>20</v>
      </c>
      <c r="E64" s="2" t="s">
        <v>330</v>
      </c>
      <c r="F64" s="2" t="s">
        <v>44</v>
      </c>
      <c r="G64" s="2" t="s">
        <v>220</v>
      </c>
      <c r="K64" s="2" t="s">
        <v>331</v>
      </c>
      <c r="N64" s="2" t="s">
        <v>332</v>
      </c>
      <c r="R64" s="2" t="s">
        <v>333</v>
      </c>
    </row>
    <row r="65" spans="1:18" x14ac:dyDescent="0.2">
      <c r="A65" s="2" t="s">
        <v>404</v>
      </c>
      <c r="B65" s="2">
        <v>1620610573</v>
      </c>
      <c r="C65" s="2">
        <v>63</v>
      </c>
      <c r="D65" s="2" t="s">
        <v>20</v>
      </c>
      <c r="E65" s="2" t="s">
        <v>334</v>
      </c>
      <c r="F65" s="2" t="s">
        <v>44</v>
      </c>
      <c r="G65" s="2" t="s">
        <v>220</v>
      </c>
      <c r="H65" s="2" t="s">
        <v>335</v>
      </c>
      <c r="K65" s="2" t="s">
        <v>336</v>
      </c>
      <c r="R65" s="2" t="s">
        <v>337</v>
      </c>
    </row>
    <row r="66" spans="1:18" x14ac:dyDescent="0.2">
      <c r="A66" s="2" t="s">
        <v>404</v>
      </c>
      <c r="B66" s="2">
        <v>1675410922</v>
      </c>
      <c r="C66" s="2">
        <v>31</v>
      </c>
      <c r="D66" s="2" t="s">
        <v>30</v>
      </c>
      <c r="E66" s="2" t="s">
        <v>338</v>
      </c>
      <c r="F66" s="2" t="s">
        <v>44</v>
      </c>
      <c r="G66" s="2" t="s">
        <v>220</v>
      </c>
      <c r="N66" s="2" t="s">
        <v>339</v>
      </c>
      <c r="R66" s="2" t="s">
        <v>340</v>
      </c>
    </row>
    <row r="67" spans="1:18" x14ac:dyDescent="0.2">
      <c r="A67" s="2" t="s">
        <v>405</v>
      </c>
      <c r="B67" s="2">
        <v>1759410412</v>
      </c>
      <c r="C67" s="2">
        <v>68</v>
      </c>
      <c r="D67" s="2" t="s">
        <v>20</v>
      </c>
      <c r="E67" s="2" t="s">
        <v>341</v>
      </c>
      <c r="F67" s="2" t="s">
        <v>44</v>
      </c>
      <c r="G67" s="2" t="s">
        <v>220</v>
      </c>
      <c r="H67" s="2" t="s">
        <v>342</v>
      </c>
      <c r="O67" s="2" t="s">
        <v>342</v>
      </c>
      <c r="P67" s="2" t="s">
        <v>343</v>
      </c>
      <c r="R67" s="2" t="s">
        <v>344</v>
      </c>
    </row>
    <row r="68" spans="1:18" x14ac:dyDescent="0.2">
      <c r="A68" s="2" t="s">
        <v>404</v>
      </c>
      <c r="B68" s="2">
        <v>1833510766</v>
      </c>
      <c r="C68" s="2">
        <v>4</v>
      </c>
      <c r="D68" s="2" t="s">
        <v>20</v>
      </c>
      <c r="E68" s="2" t="s">
        <v>345</v>
      </c>
      <c r="F68" s="2" t="s">
        <v>44</v>
      </c>
      <c r="G68" s="2" t="s">
        <v>220</v>
      </c>
      <c r="N68" s="2" t="s">
        <v>346</v>
      </c>
      <c r="P68" s="2" t="s">
        <v>347</v>
      </c>
      <c r="R68" s="2" t="s">
        <v>348</v>
      </c>
    </row>
    <row r="69" spans="1:18" x14ac:dyDescent="0.2">
      <c r="A69" s="2" t="s">
        <v>404</v>
      </c>
      <c r="B69" s="2">
        <v>2079410115</v>
      </c>
      <c r="C69" s="2">
        <v>48</v>
      </c>
      <c r="D69" s="2" t="s">
        <v>20</v>
      </c>
      <c r="E69" s="2" t="s">
        <v>349</v>
      </c>
      <c r="F69" s="2" t="s">
        <v>22</v>
      </c>
      <c r="G69" s="2" t="s">
        <v>215</v>
      </c>
      <c r="N69" s="2" t="s">
        <v>350</v>
      </c>
      <c r="P69" s="2" t="s">
        <v>351</v>
      </c>
      <c r="R69" s="2" t="s">
        <v>352</v>
      </c>
    </row>
    <row r="70" spans="1:18" x14ac:dyDescent="0.2">
      <c r="A70" s="2" t="s">
        <v>404</v>
      </c>
      <c r="B70" s="2">
        <v>2134710591</v>
      </c>
      <c r="C70" s="2">
        <v>41</v>
      </c>
      <c r="D70" s="2" t="s">
        <v>20</v>
      </c>
      <c r="E70" s="2" t="s">
        <v>353</v>
      </c>
      <c r="F70" s="2" t="s">
        <v>44</v>
      </c>
      <c r="G70" s="2" t="s">
        <v>220</v>
      </c>
      <c r="H70" s="2" t="s">
        <v>354</v>
      </c>
      <c r="R70" s="2" t="s">
        <v>355</v>
      </c>
    </row>
    <row r="71" spans="1:18" x14ac:dyDescent="0.2">
      <c r="A71" s="2" t="s">
        <v>404</v>
      </c>
      <c r="B71" s="2">
        <v>2335110194</v>
      </c>
      <c r="C71" s="2">
        <v>56</v>
      </c>
      <c r="D71" s="2" t="s">
        <v>30</v>
      </c>
      <c r="E71" s="2" t="s">
        <v>356</v>
      </c>
      <c r="F71" s="2" t="s">
        <v>22</v>
      </c>
      <c r="G71" s="2" t="s">
        <v>220</v>
      </c>
      <c r="H71" s="2" t="s">
        <v>357</v>
      </c>
      <c r="J71" s="2" t="s">
        <v>358</v>
      </c>
      <c r="K71" s="2" t="s">
        <v>359</v>
      </c>
      <c r="N71" s="2" t="s">
        <v>360</v>
      </c>
      <c r="P71" s="2" t="s">
        <v>361</v>
      </c>
      <c r="R71" s="2" t="s">
        <v>362</v>
      </c>
    </row>
    <row r="72" spans="1:18" x14ac:dyDescent="0.2">
      <c r="A72" s="2" t="s">
        <v>405</v>
      </c>
      <c r="B72" s="2">
        <v>2482010040</v>
      </c>
      <c r="C72" s="2">
        <v>39</v>
      </c>
      <c r="D72" s="2" t="s">
        <v>30</v>
      </c>
      <c r="E72" s="2" t="s">
        <v>363</v>
      </c>
      <c r="F72" s="2" t="s">
        <v>44</v>
      </c>
      <c r="G72" s="2" t="s">
        <v>220</v>
      </c>
      <c r="H72" s="2" t="s">
        <v>364</v>
      </c>
      <c r="K72" s="2" t="s">
        <v>365</v>
      </c>
      <c r="N72" s="2" t="s">
        <v>366</v>
      </c>
      <c r="O72" s="2" t="s">
        <v>367</v>
      </c>
      <c r="R72" s="2" t="s">
        <v>368</v>
      </c>
    </row>
    <row r="73" spans="1:18" x14ac:dyDescent="0.2">
      <c r="A73" s="2" t="s">
        <v>404</v>
      </c>
      <c r="B73" s="2">
        <v>2489610789</v>
      </c>
      <c r="C73" s="2">
        <v>21</v>
      </c>
      <c r="D73" s="2" t="s">
        <v>20</v>
      </c>
      <c r="E73" s="2" t="s">
        <v>369</v>
      </c>
      <c r="F73" s="2" t="s">
        <v>22</v>
      </c>
      <c r="G73" s="2" t="s">
        <v>220</v>
      </c>
      <c r="P73" s="2" t="s">
        <v>370</v>
      </c>
      <c r="R73" s="2" t="s">
        <v>371</v>
      </c>
    </row>
    <row r="74" spans="1:18" x14ac:dyDescent="0.2">
      <c r="A74" s="2" t="s">
        <v>405</v>
      </c>
      <c r="B74" s="2">
        <v>2615910492</v>
      </c>
      <c r="C74" s="2">
        <v>29</v>
      </c>
      <c r="D74" s="2" t="s">
        <v>30</v>
      </c>
      <c r="E74" s="2" t="s">
        <v>372</v>
      </c>
      <c r="F74" s="2" t="s">
        <v>44</v>
      </c>
      <c r="G74" s="2" t="s">
        <v>220</v>
      </c>
      <c r="O74" s="2" t="s">
        <v>373</v>
      </c>
      <c r="P74" s="2" t="s">
        <v>374</v>
      </c>
      <c r="R74" s="2" t="s">
        <v>375</v>
      </c>
    </row>
    <row r="75" spans="1:18" x14ac:dyDescent="0.2">
      <c r="A75" s="2" t="s">
        <v>404</v>
      </c>
      <c r="B75" s="2">
        <v>2723810058</v>
      </c>
      <c r="C75" s="2">
        <v>72</v>
      </c>
      <c r="D75" s="2" t="s">
        <v>30</v>
      </c>
      <c r="E75" s="2" t="s">
        <v>376</v>
      </c>
      <c r="F75" s="2" t="s">
        <v>44</v>
      </c>
      <c r="G75" s="2" t="s">
        <v>220</v>
      </c>
      <c r="H75" s="2" t="s">
        <v>377</v>
      </c>
      <c r="J75" s="2" t="s">
        <v>378</v>
      </c>
      <c r="K75" s="2" t="s">
        <v>379</v>
      </c>
      <c r="R75" s="2" t="s">
        <v>380</v>
      </c>
    </row>
    <row r="76" spans="1:18" x14ac:dyDescent="0.2">
      <c r="A76" s="2" t="s">
        <v>404</v>
      </c>
      <c r="B76" s="2">
        <v>2850010979</v>
      </c>
      <c r="C76" s="2">
        <v>2</v>
      </c>
      <c r="D76" s="2" t="s">
        <v>30</v>
      </c>
      <c r="E76" s="2" t="s">
        <v>381</v>
      </c>
      <c r="F76" s="2" t="s">
        <v>44</v>
      </c>
      <c r="G76" s="2" t="s">
        <v>220</v>
      </c>
      <c r="N76" s="2" t="s">
        <v>382</v>
      </c>
      <c r="R76" s="2" t="s">
        <v>383</v>
      </c>
    </row>
    <row r="77" spans="1:18" x14ac:dyDescent="0.2">
      <c r="A77" s="2" t="s">
        <v>404</v>
      </c>
      <c r="B77" s="2">
        <v>2946010373</v>
      </c>
      <c r="C77" s="2">
        <v>31</v>
      </c>
      <c r="D77" s="2" t="s">
        <v>30</v>
      </c>
      <c r="E77" s="2" t="s">
        <v>384</v>
      </c>
      <c r="F77" s="2" t="s">
        <v>22</v>
      </c>
      <c r="G77" s="2" t="s">
        <v>220</v>
      </c>
      <c r="K77" s="2" t="s">
        <v>385</v>
      </c>
      <c r="P77" s="2" t="s">
        <v>386</v>
      </c>
      <c r="R77" s="2" t="s">
        <v>387</v>
      </c>
    </row>
    <row r="78" spans="1:18" x14ac:dyDescent="0.2">
      <c r="A78" s="2" t="s">
        <v>404</v>
      </c>
      <c r="B78" s="2">
        <v>3181110734</v>
      </c>
      <c r="C78" s="2">
        <v>21</v>
      </c>
      <c r="D78" s="2" t="s">
        <v>30</v>
      </c>
      <c r="E78" s="2" t="s">
        <v>388</v>
      </c>
      <c r="F78" s="2" t="s">
        <v>44</v>
      </c>
      <c r="G78" s="2" t="s">
        <v>220</v>
      </c>
      <c r="R78" s="2" t="s">
        <v>389</v>
      </c>
    </row>
    <row r="79" spans="1:18" x14ac:dyDescent="0.2">
      <c r="A79" s="2" t="s">
        <v>404</v>
      </c>
      <c r="B79" s="2">
        <v>3212210166</v>
      </c>
      <c r="C79" s="2">
        <v>39</v>
      </c>
      <c r="D79" s="2" t="s">
        <v>30</v>
      </c>
      <c r="E79" s="2" t="s">
        <v>390</v>
      </c>
      <c r="F79" s="2" t="s">
        <v>44</v>
      </c>
      <c r="G79" s="2" t="s">
        <v>220</v>
      </c>
      <c r="P79" s="2" t="s">
        <v>391</v>
      </c>
      <c r="R79" s="2" t="s">
        <v>392</v>
      </c>
    </row>
    <row r="80" spans="1:18" x14ac:dyDescent="0.2">
      <c r="A80" s="2" t="s">
        <v>405</v>
      </c>
      <c r="B80" s="2">
        <v>3266510164</v>
      </c>
      <c r="C80" s="2">
        <v>60</v>
      </c>
      <c r="D80" s="2" t="s">
        <v>30</v>
      </c>
      <c r="E80" s="2" t="s">
        <v>393</v>
      </c>
      <c r="F80" s="2" t="s">
        <v>44</v>
      </c>
      <c r="G80" s="2" t="s">
        <v>220</v>
      </c>
      <c r="H80" s="2" t="s">
        <v>394</v>
      </c>
      <c r="K80" s="2" t="s">
        <v>395</v>
      </c>
      <c r="N80" s="2" t="s">
        <v>396</v>
      </c>
      <c r="O80" s="2" t="s">
        <v>394</v>
      </c>
      <c r="P80" s="2" t="s">
        <v>397</v>
      </c>
      <c r="R80" s="2" t="s">
        <v>398</v>
      </c>
    </row>
    <row r="81" spans="1:18" x14ac:dyDescent="0.2">
      <c r="A81" s="2" t="s">
        <v>404</v>
      </c>
      <c r="B81" s="2">
        <v>3354710424</v>
      </c>
      <c r="C81" s="2">
        <v>24</v>
      </c>
      <c r="D81" s="2" t="s">
        <v>30</v>
      </c>
      <c r="E81" s="2" t="s">
        <v>399</v>
      </c>
      <c r="F81" s="2" t="s">
        <v>22</v>
      </c>
      <c r="G81" s="2" t="s">
        <v>220</v>
      </c>
      <c r="P81" s="2" t="s">
        <v>400</v>
      </c>
      <c r="R81" s="2" t="s">
        <v>401</v>
      </c>
    </row>
    <row r="82" spans="1:18" x14ac:dyDescent="0.2">
      <c r="A82" s="2" t="s">
        <v>404</v>
      </c>
      <c r="B82" s="2">
        <v>9461110544</v>
      </c>
      <c r="C82" s="2">
        <v>3</v>
      </c>
      <c r="D82" s="2" t="s">
        <v>20</v>
      </c>
      <c r="E82" s="2" t="s">
        <v>402</v>
      </c>
      <c r="F82" s="2" t="s">
        <v>44</v>
      </c>
      <c r="G82" s="2" t="s">
        <v>220</v>
      </c>
      <c r="R82" s="2" t="s">
        <v>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8A38-CE1D-FD46-8D5E-68AD9A6741A5}">
  <dimension ref="A3:B6"/>
  <sheetViews>
    <sheetView workbookViewId="0">
      <selection activeCell="A3" sqref="A3"/>
    </sheetView>
  </sheetViews>
  <sheetFormatPr baseColWidth="10" defaultRowHeight="16" x14ac:dyDescent="0.2"/>
  <cols>
    <col min="1" max="1" width="22.6640625" bestFit="1" customWidth="1"/>
    <col min="2" max="2" width="45.1640625" bestFit="1" customWidth="1"/>
  </cols>
  <sheetData>
    <row r="3" spans="1:2" x14ac:dyDescent="0.2">
      <c r="A3" s="10" t="s">
        <v>407</v>
      </c>
      <c r="B3" t="s">
        <v>410</v>
      </c>
    </row>
    <row r="4" spans="1:2" x14ac:dyDescent="0.2">
      <c r="A4" s="11" t="s">
        <v>405</v>
      </c>
      <c r="B4">
        <v>21</v>
      </c>
    </row>
    <row r="5" spans="1:2" x14ac:dyDescent="0.2">
      <c r="A5" s="11" t="s">
        <v>404</v>
      </c>
      <c r="B5">
        <v>60</v>
      </c>
    </row>
    <row r="6" spans="1:2" x14ac:dyDescent="0.2">
      <c r="A6" s="11" t="s">
        <v>408</v>
      </c>
      <c r="B6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125D-8016-D549-8F87-E78FBE669DD2}">
  <dimension ref="A1:S82"/>
  <sheetViews>
    <sheetView workbookViewId="0"/>
  </sheetViews>
  <sheetFormatPr baseColWidth="10" defaultRowHeight="16" x14ac:dyDescent="0.2"/>
  <cols>
    <col min="1" max="1" width="13" style="9" customWidth="1"/>
    <col min="2" max="2" width="10.83203125" style="8" customWidth="1"/>
    <col min="5" max="5" width="20.33203125" customWidth="1"/>
    <col min="6" max="6" width="12.1640625" customWidth="1"/>
    <col min="7" max="7" width="12" customWidth="1"/>
    <col min="8" max="8" width="12.5" customWidth="1"/>
    <col min="10" max="10" width="12.6640625" customWidth="1"/>
    <col min="12" max="12" width="23.5" customWidth="1"/>
    <col min="13" max="13" width="20" customWidth="1"/>
    <col min="14" max="14" width="19.83203125" customWidth="1"/>
    <col min="15" max="15" width="19.33203125" customWidth="1"/>
    <col min="16" max="16" width="14" customWidth="1"/>
    <col min="17" max="17" width="25.1640625" customWidth="1"/>
    <col min="18" max="18" width="10.33203125" customWidth="1"/>
  </cols>
  <sheetData>
    <row r="1" spans="1:19" ht="68" customHeight="1" x14ac:dyDescent="0.2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x14ac:dyDescent="0.2">
      <c r="A2" t="s">
        <v>404</v>
      </c>
      <c r="B2" s="8">
        <v>7810823</v>
      </c>
      <c r="C2">
        <v>53</v>
      </c>
      <c r="D2" t="s">
        <v>20</v>
      </c>
      <c r="E2" t="s">
        <v>21</v>
      </c>
      <c r="F2" t="s">
        <v>22</v>
      </c>
      <c r="G2" t="s">
        <v>23</v>
      </c>
      <c r="J2" t="s">
        <v>24</v>
      </c>
      <c r="K2" t="s">
        <v>25</v>
      </c>
      <c r="N2" t="s">
        <v>26</v>
      </c>
      <c r="P2" t="s">
        <v>27</v>
      </c>
      <c r="R2" t="s">
        <v>28</v>
      </c>
    </row>
    <row r="3" spans="1:19" x14ac:dyDescent="0.2">
      <c r="A3" t="s">
        <v>406</v>
      </c>
      <c r="B3" s="8">
        <v>2352010389</v>
      </c>
      <c r="C3">
        <v>20</v>
      </c>
      <c r="D3" t="s">
        <v>30</v>
      </c>
      <c r="E3" t="s">
        <v>31</v>
      </c>
      <c r="G3" t="s">
        <v>32</v>
      </c>
      <c r="H3" t="s">
        <v>33</v>
      </c>
      <c r="J3" t="s">
        <v>34</v>
      </c>
      <c r="N3" t="s">
        <v>35</v>
      </c>
      <c r="R3" t="s">
        <v>36</v>
      </c>
    </row>
    <row r="4" spans="1:19" x14ac:dyDescent="0.2">
      <c r="A4" t="s">
        <v>406</v>
      </c>
      <c r="B4" s="8">
        <v>244010017</v>
      </c>
      <c r="C4">
        <v>17</v>
      </c>
      <c r="D4" t="s">
        <v>20</v>
      </c>
      <c r="E4" t="s">
        <v>37</v>
      </c>
      <c r="G4" t="s">
        <v>38</v>
      </c>
      <c r="J4" t="s">
        <v>39</v>
      </c>
      <c r="K4" t="s">
        <v>40</v>
      </c>
      <c r="P4" t="s">
        <v>41</v>
      </c>
      <c r="R4" t="s">
        <v>42</v>
      </c>
    </row>
    <row r="5" spans="1:19" x14ac:dyDescent="0.2">
      <c r="A5" t="s">
        <v>406</v>
      </c>
      <c r="B5" s="8">
        <v>5359010662</v>
      </c>
      <c r="C5">
        <v>51</v>
      </c>
      <c r="D5" t="s">
        <v>30</v>
      </c>
      <c r="E5" t="s">
        <v>43</v>
      </c>
      <c r="F5" t="s">
        <v>44</v>
      </c>
      <c r="G5" t="s">
        <v>45</v>
      </c>
      <c r="N5" t="s">
        <v>46</v>
      </c>
      <c r="R5" t="s">
        <v>47</v>
      </c>
    </row>
    <row r="6" spans="1:19" x14ac:dyDescent="0.2">
      <c r="A6" t="s">
        <v>404</v>
      </c>
      <c r="B6" s="8">
        <v>261610479</v>
      </c>
      <c r="C6">
        <v>39</v>
      </c>
      <c r="D6" t="s">
        <v>20</v>
      </c>
      <c r="E6" t="s">
        <v>48</v>
      </c>
      <c r="G6" t="s">
        <v>49</v>
      </c>
      <c r="H6" t="s">
        <v>50</v>
      </c>
      <c r="J6" t="s">
        <v>51</v>
      </c>
      <c r="K6" t="s">
        <v>52</v>
      </c>
      <c r="N6" t="s">
        <v>53</v>
      </c>
      <c r="R6" t="s">
        <v>54</v>
      </c>
    </row>
    <row r="7" spans="1:19" x14ac:dyDescent="0.2">
      <c r="A7" t="s">
        <v>404</v>
      </c>
      <c r="B7" s="8">
        <v>378410775</v>
      </c>
      <c r="C7">
        <v>34</v>
      </c>
      <c r="D7" t="s">
        <v>30</v>
      </c>
      <c r="E7" t="s">
        <v>55</v>
      </c>
      <c r="G7" t="s">
        <v>56</v>
      </c>
      <c r="H7" t="s">
        <v>57</v>
      </c>
      <c r="J7" t="s">
        <v>58</v>
      </c>
      <c r="K7" t="s">
        <v>59</v>
      </c>
      <c r="N7" t="s">
        <v>60</v>
      </c>
      <c r="O7" t="s">
        <v>57</v>
      </c>
      <c r="P7" t="s">
        <v>61</v>
      </c>
      <c r="R7" t="s">
        <v>62</v>
      </c>
    </row>
    <row r="8" spans="1:19" x14ac:dyDescent="0.2">
      <c r="A8" t="s">
        <v>404</v>
      </c>
      <c r="B8" s="8">
        <v>1502010397</v>
      </c>
      <c r="C8">
        <v>16</v>
      </c>
      <c r="D8" t="s">
        <v>30</v>
      </c>
      <c r="E8" t="s">
        <v>64</v>
      </c>
      <c r="G8" t="s">
        <v>49</v>
      </c>
      <c r="J8" t="s">
        <v>65</v>
      </c>
      <c r="K8" t="s">
        <v>66</v>
      </c>
      <c r="R8" t="s">
        <v>67</v>
      </c>
    </row>
    <row r="9" spans="1:19" x14ac:dyDescent="0.2">
      <c r="A9" t="s">
        <v>404</v>
      </c>
      <c r="B9" s="8">
        <v>2353710622</v>
      </c>
      <c r="C9">
        <v>18</v>
      </c>
      <c r="D9" t="s">
        <v>20</v>
      </c>
      <c r="E9" t="s">
        <v>68</v>
      </c>
      <c r="G9" t="s">
        <v>49</v>
      </c>
      <c r="H9" t="s">
        <v>69</v>
      </c>
      <c r="J9" t="s">
        <v>70</v>
      </c>
      <c r="K9" t="s">
        <v>71</v>
      </c>
      <c r="N9" t="s">
        <v>72</v>
      </c>
      <c r="R9" t="s">
        <v>73</v>
      </c>
    </row>
    <row r="10" spans="1:19" x14ac:dyDescent="0.2">
      <c r="A10" t="s">
        <v>404</v>
      </c>
      <c r="B10" s="8">
        <v>1045410614</v>
      </c>
      <c r="C10">
        <v>40</v>
      </c>
      <c r="D10" t="s">
        <v>20</v>
      </c>
      <c r="E10" t="s">
        <v>74</v>
      </c>
      <c r="F10" t="s">
        <v>44</v>
      </c>
      <c r="G10" t="s">
        <v>75</v>
      </c>
      <c r="P10" t="s">
        <v>76</v>
      </c>
      <c r="R10" t="s">
        <v>77</v>
      </c>
    </row>
    <row r="11" spans="1:19" x14ac:dyDescent="0.2">
      <c r="A11" t="s">
        <v>404</v>
      </c>
      <c r="B11" s="8">
        <v>4803410866</v>
      </c>
      <c r="C11">
        <v>20</v>
      </c>
      <c r="D11" t="s">
        <v>20</v>
      </c>
      <c r="E11" t="s">
        <v>78</v>
      </c>
      <c r="F11" t="s">
        <v>44</v>
      </c>
      <c r="G11" t="s">
        <v>79</v>
      </c>
      <c r="O11" t="s">
        <v>80</v>
      </c>
      <c r="R11" t="s">
        <v>81</v>
      </c>
    </row>
    <row r="12" spans="1:19" x14ac:dyDescent="0.2">
      <c r="A12" t="s">
        <v>404</v>
      </c>
      <c r="B12" s="8">
        <v>384210994</v>
      </c>
      <c r="C12">
        <v>30</v>
      </c>
      <c r="D12" t="s">
        <v>30</v>
      </c>
      <c r="E12" t="s">
        <v>82</v>
      </c>
      <c r="F12" t="s">
        <v>44</v>
      </c>
      <c r="G12" t="s">
        <v>83</v>
      </c>
      <c r="H12" t="s">
        <v>84</v>
      </c>
      <c r="R12" t="s">
        <v>85</v>
      </c>
    </row>
    <row r="13" spans="1:19" x14ac:dyDescent="0.2">
      <c r="A13" t="s">
        <v>404</v>
      </c>
      <c r="B13" s="8">
        <v>77110497</v>
      </c>
      <c r="C13">
        <v>26</v>
      </c>
      <c r="D13" t="s">
        <v>30</v>
      </c>
      <c r="E13" t="s">
        <v>86</v>
      </c>
      <c r="G13" t="s">
        <v>87</v>
      </c>
      <c r="H13" t="s">
        <v>88</v>
      </c>
      <c r="J13" t="s">
        <v>89</v>
      </c>
      <c r="K13" t="s">
        <v>90</v>
      </c>
    </row>
    <row r="14" spans="1:19" x14ac:dyDescent="0.2">
      <c r="A14" t="s">
        <v>404</v>
      </c>
      <c r="B14" s="8">
        <v>35210409</v>
      </c>
      <c r="C14">
        <v>29</v>
      </c>
      <c r="D14" t="s">
        <v>30</v>
      </c>
      <c r="E14" t="s">
        <v>91</v>
      </c>
      <c r="G14" t="s">
        <v>92</v>
      </c>
      <c r="H14" t="s">
        <v>93</v>
      </c>
      <c r="J14" t="s">
        <v>94</v>
      </c>
      <c r="K14" t="s">
        <v>95</v>
      </c>
      <c r="P14" t="s">
        <v>96</v>
      </c>
      <c r="R14" t="s">
        <v>97</v>
      </c>
    </row>
    <row r="15" spans="1:19" x14ac:dyDescent="0.2">
      <c r="A15" t="s">
        <v>405</v>
      </c>
      <c r="B15" s="8">
        <v>153910595</v>
      </c>
      <c r="C15">
        <v>62</v>
      </c>
      <c r="D15" t="s">
        <v>30</v>
      </c>
      <c r="E15" t="s">
        <v>98</v>
      </c>
      <c r="G15" t="s">
        <v>99</v>
      </c>
      <c r="H15" t="s">
        <v>100</v>
      </c>
      <c r="J15" t="s">
        <v>101</v>
      </c>
      <c r="K15" t="s">
        <v>102</v>
      </c>
      <c r="N15" t="s">
        <v>103</v>
      </c>
      <c r="P15" t="s">
        <v>104</v>
      </c>
      <c r="R15" t="s">
        <v>105</v>
      </c>
    </row>
    <row r="16" spans="1:19" x14ac:dyDescent="0.2">
      <c r="A16" t="s">
        <v>404</v>
      </c>
      <c r="B16" s="8">
        <v>274210173</v>
      </c>
      <c r="C16">
        <v>77</v>
      </c>
      <c r="D16" t="s">
        <v>20</v>
      </c>
      <c r="E16" t="s">
        <v>106</v>
      </c>
      <c r="G16" t="s">
        <v>92</v>
      </c>
      <c r="H16" t="s">
        <v>107</v>
      </c>
      <c r="J16" t="s">
        <v>108</v>
      </c>
      <c r="K16" t="s">
        <v>109</v>
      </c>
      <c r="R16" t="s">
        <v>110</v>
      </c>
    </row>
    <row r="17" spans="1:18" x14ac:dyDescent="0.2">
      <c r="A17" t="s">
        <v>405</v>
      </c>
      <c r="B17" s="8">
        <v>436610288</v>
      </c>
      <c r="C17">
        <v>67</v>
      </c>
      <c r="D17" t="s">
        <v>20</v>
      </c>
      <c r="E17" t="s">
        <v>111</v>
      </c>
      <c r="G17" t="s">
        <v>92</v>
      </c>
      <c r="H17" t="s">
        <v>112</v>
      </c>
      <c r="J17" t="s">
        <v>113</v>
      </c>
      <c r="K17" t="s">
        <v>114</v>
      </c>
      <c r="N17" t="s">
        <v>115</v>
      </c>
      <c r="R17" t="s">
        <v>116</v>
      </c>
    </row>
    <row r="18" spans="1:18" x14ac:dyDescent="0.2">
      <c r="A18" t="s">
        <v>404</v>
      </c>
      <c r="B18" s="8">
        <v>503810366</v>
      </c>
      <c r="C18">
        <v>72</v>
      </c>
      <c r="D18" t="s">
        <v>30</v>
      </c>
      <c r="E18" t="s">
        <v>117</v>
      </c>
      <c r="F18" t="s">
        <v>44</v>
      </c>
      <c r="G18" t="s">
        <v>118</v>
      </c>
      <c r="H18" t="s">
        <v>119</v>
      </c>
      <c r="O18" t="s">
        <v>120</v>
      </c>
      <c r="R18" t="s">
        <v>121</v>
      </c>
    </row>
    <row r="19" spans="1:18" x14ac:dyDescent="0.2">
      <c r="A19" t="s">
        <v>404</v>
      </c>
      <c r="B19" s="8">
        <v>559910689</v>
      </c>
      <c r="C19">
        <v>34</v>
      </c>
      <c r="D19" t="s">
        <v>30</v>
      </c>
      <c r="E19" t="s">
        <v>122</v>
      </c>
      <c r="F19" t="s">
        <v>22</v>
      </c>
      <c r="G19" t="s">
        <v>92</v>
      </c>
      <c r="H19" t="s">
        <v>123</v>
      </c>
      <c r="K19" t="s">
        <v>124</v>
      </c>
      <c r="N19" t="s">
        <v>125</v>
      </c>
      <c r="P19" t="s">
        <v>126</v>
      </c>
      <c r="R19" t="s">
        <v>127</v>
      </c>
    </row>
    <row r="20" spans="1:18" x14ac:dyDescent="0.2">
      <c r="A20" t="s">
        <v>405</v>
      </c>
      <c r="B20" s="8">
        <v>644210241</v>
      </c>
      <c r="C20">
        <v>66</v>
      </c>
      <c r="D20" t="s">
        <v>30</v>
      </c>
      <c r="E20" t="s">
        <v>128</v>
      </c>
      <c r="F20" t="s">
        <v>44</v>
      </c>
      <c r="G20" t="s">
        <v>92</v>
      </c>
      <c r="H20" t="s">
        <v>129</v>
      </c>
      <c r="J20" t="s">
        <v>130</v>
      </c>
      <c r="K20" t="s">
        <v>131</v>
      </c>
      <c r="R20" t="s">
        <v>132</v>
      </c>
    </row>
    <row r="21" spans="1:18" x14ac:dyDescent="0.2">
      <c r="A21" t="s">
        <v>406</v>
      </c>
      <c r="B21" s="8">
        <v>812210207</v>
      </c>
      <c r="C21">
        <v>38</v>
      </c>
      <c r="D21" t="s">
        <v>20</v>
      </c>
      <c r="E21" t="s">
        <v>133</v>
      </c>
      <c r="F21" t="s">
        <v>44</v>
      </c>
      <c r="G21" t="s">
        <v>92</v>
      </c>
      <c r="N21" t="s">
        <v>134</v>
      </c>
      <c r="R21" t="s">
        <v>135</v>
      </c>
    </row>
    <row r="22" spans="1:18" x14ac:dyDescent="0.2">
      <c r="A22" t="s">
        <v>404</v>
      </c>
      <c r="B22" s="8">
        <v>925810409</v>
      </c>
      <c r="C22">
        <v>31</v>
      </c>
      <c r="D22" t="s">
        <v>20</v>
      </c>
      <c r="E22" t="s">
        <v>136</v>
      </c>
      <c r="G22" t="s">
        <v>137</v>
      </c>
      <c r="H22" t="s">
        <v>138</v>
      </c>
      <c r="J22" t="s">
        <v>139</v>
      </c>
      <c r="K22" t="s">
        <v>140</v>
      </c>
      <c r="N22" t="s">
        <v>141</v>
      </c>
      <c r="P22" t="s">
        <v>142</v>
      </c>
      <c r="R22" t="s">
        <v>143</v>
      </c>
    </row>
    <row r="23" spans="1:18" x14ac:dyDescent="0.2">
      <c r="A23" t="s">
        <v>406</v>
      </c>
      <c r="B23" s="8">
        <v>1054010302</v>
      </c>
      <c r="C23">
        <v>33</v>
      </c>
      <c r="D23" t="s">
        <v>20</v>
      </c>
      <c r="E23" t="s">
        <v>144</v>
      </c>
      <c r="G23" t="s">
        <v>145</v>
      </c>
      <c r="H23" t="s">
        <v>146</v>
      </c>
      <c r="J23" t="s">
        <v>147</v>
      </c>
      <c r="K23" t="s">
        <v>148</v>
      </c>
      <c r="N23" t="s">
        <v>149</v>
      </c>
      <c r="P23" t="s">
        <v>150</v>
      </c>
      <c r="R23" t="s">
        <v>151</v>
      </c>
    </row>
    <row r="24" spans="1:18" x14ac:dyDescent="0.2">
      <c r="A24" t="s">
        <v>404</v>
      </c>
      <c r="B24" s="8">
        <v>1525510677</v>
      </c>
      <c r="C24">
        <v>39</v>
      </c>
      <c r="D24" t="s">
        <v>30</v>
      </c>
      <c r="E24" t="s">
        <v>152</v>
      </c>
      <c r="G24" t="s">
        <v>145</v>
      </c>
      <c r="H24" t="s">
        <v>153</v>
      </c>
      <c r="J24" t="s">
        <v>154</v>
      </c>
      <c r="K24" t="s">
        <v>155</v>
      </c>
      <c r="N24" t="s">
        <v>156</v>
      </c>
      <c r="P24" t="s">
        <v>157</v>
      </c>
      <c r="R24" t="s">
        <v>158</v>
      </c>
    </row>
    <row r="25" spans="1:18" x14ac:dyDescent="0.2">
      <c r="A25" t="s">
        <v>404</v>
      </c>
      <c r="B25" s="8">
        <v>1721910803</v>
      </c>
      <c r="C25">
        <v>34</v>
      </c>
      <c r="D25" t="s">
        <v>30</v>
      </c>
      <c r="E25" t="s">
        <v>159</v>
      </c>
      <c r="F25" t="s">
        <v>22</v>
      </c>
      <c r="G25" t="s">
        <v>160</v>
      </c>
      <c r="R25" t="s">
        <v>161</v>
      </c>
    </row>
    <row r="26" spans="1:18" x14ac:dyDescent="0.2">
      <c r="A26" t="s">
        <v>406</v>
      </c>
      <c r="B26" s="8">
        <v>1985010365</v>
      </c>
      <c r="C26">
        <v>72</v>
      </c>
      <c r="D26" t="s">
        <v>30</v>
      </c>
      <c r="E26" t="s">
        <v>162</v>
      </c>
      <c r="F26" t="s">
        <v>22</v>
      </c>
      <c r="G26" t="s">
        <v>92</v>
      </c>
      <c r="K26" t="s">
        <v>163</v>
      </c>
      <c r="N26" t="s">
        <v>164</v>
      </c>
      <c r="P26" t="s">
        <v>165</v>
      </c>
      <c r="R26" t="s">
        <v>166</v>
      </c>
    </row>
    <row r="27" spans="1:18" x14ac:dyDescent="0.2">
      <c r="A27" t="s">
        <v>405</v>
      </c>
      <c r="B27" s="8">
        <v>2020510974</v>
      </c>
      <c r="C27">
        <v>55</v>
      </c>
      <c r="D27" t="s">
        <v>30</v>
      </c>
      <c r="E27" t="s">
        <v>167</v>
      </c>
      <c r="F27" t="s">
        <v>22</v>
      </c>
      <c r="G27" t="s">
        <v>92</v>
      </c>
      <c r="H27" t="s">
        <v>168</v>
      </c>
      <c r="J27" t="s">
        <v>169</v>
      </c>
      <c r="K27" t="s">
        <v>170</v>
      </c>
      <c r="P27" t="s">
        <v>171</v>
      </c>
      <c r="R27" t="s">
        <v>172</v>
      </c>
    </row>
    <row r="28" spans="1:18" x14ac:dyDescent="0.2">
      <c r="A28" t="s">
        <v>404</v>
      </c>
      <c r="B28" s="8">
        <v>2520610627</v>
      </c>
      <c r="C28">
        <v>44</v>
      </c>
      <c r="D28" t="s">
        <v>20</v>
      </c>
      <c r="E28" t="s">
        <v>159</v>
      </c>
      <c r="F28" t="s">
        <v>22</v>
      </c>
      <c r="G28" t="s">
        <v>92</v>
      </c>
      <c r="P28" t="s">
        <v>173</v>
      </c>
      <c r="R28" t="s">
        <v>174</v>
      </c>
    </row>
    <row r="29" spans="1:18" x14ac:dyDescent="0.2">
      <c r="A29" t="s">
        <v>405</v>
      </c>
      <c r="B29" s="8">
        <v>3954810544</v>
      </c>
      <c r="C29">
        <v>58</v>
      </c>
      <c r="D29" t="s">
        <v>30</v>
      </c>
      <c r="E29" t="s">
        <v>175</v>
      </c>
      <c r="G29" t="s">
        <v>176</v>
      </c>
      <c r="H29" t="s">
        <v>177</v>
      </c>
      <c r="J29" t="s">
        <v>178</v>
      </c>
      <c r="K29" t="s">
        <v>179</v>
      </c>
      <c r="N29" t="s">
        <v>180</v>
      </c>
      <c r="P29" t="s">
        <v>181</v>
      </c>
      <c r="R29" t="s">
        <v>182</v>
      </c>
    </row>
    <row r="30" spans="1:18" x14ac:dyDescent="0.2">
      <c r="A30" t="s">
        <v>404</v>
      </c>
      <c r="B30" s="8">
        <v>726710461</v>
      </c>
      <c r="C30">
        <v>47</v>
      </c>
      <c r="D30" t="s">
        <v>30</v>
      </c>
      <c r="E30" t="s">
        <v>183</v>
      </c>
      <c r="F30" t="s">
        <v>22</v>
      </c>
      <c r="G30" t="s">
        <v>184</v>
      </c>
      <c r="H30" t="s">
        <v>185</v>
      </c>
      <c r="K30" t="s">
        <v>186</v>
      </c>
      <c r="O30" t="s">
        <v>187</v>
      </c>
      <c r="P30" t="s">
        <v>188</v>
      </c>
      <c r="R30" t="s">
        <v>189</v>
      </c>
    </row>
    <row r="31" spans="1:18" x14ac:dyDescent="0.2">
      <c r="A31" t="s">
        <v>406</v>
      </c>
      <c r="B31" s="8">
        <v>833410289</v>
      </c>
      <c r="C31">
        <v>24</v>
      </c>
      <c r="D31" t="s">
        <v>20</v>
      </c>
      <c r="E31" t="s">
        <v>190</v>
      </c>
      <c r="F31" t="s">
        <v>22</v>
      </c>
      <c r="G31" t="s">
        <v>191</v>
      </c>
      <c r="O31" t="s">
        <v>192</v>
      </c>
      <c r="P31" t="s">
        <v>193</v>
      </c>
      <c r="R31" t="s">
        <v>194</v>
      </c>
    </row>
    <row r="32" spans="1:18" x14ac:dyDescent="0.2">
      <c r="A32" t="s">
        <v>404</v>
      </c>
      <c r="B32" s="8">
        <v>971510284</v>
      </c>
      <c r="C32">
        <v>60</v>
      </c>
      <c r="D32" t="s">
        <v>30</v>
      </c>
      <c r="E32" t="s">
        <v>195</v>
      </c>
      <c r="F32" t="s">
        <v>22</v>
      </c>
      <c r="G32" t="s">
        <v>191</v>
      </c>
      <c r="O32" t="s">
        <v>196</v>
      </c>
      <c r="P32" t="s">
        <v>197</v>
      </c>
      <c r="R32" t="s">
        <v>198</v>
      </c>
    </row>
    <row r="33" spans="1:18" x14ac:dyDescent="0.2">
      <c r="A33" t="s">
        <v>404</v>
      </c>
      <c r="B33" s="8">
        <v>1094310233</v>
      </c>
      <c r="C33">
        <v>4</v>
      </c>
      <c r="D33" t="s">
        <v>30</v>
      </c>
      <c r="E33" t="s">
        <v>199</v>
      </c>
      <c r="F33" t="s">
        <v>22</v>
      </c>
      <c r="G33" t="s">
        <v>191</v>
      </c>
      <c r="N33" t="s">
        <v>200</v>
      </c>
      <c r="O33" t="s">
        <v>196</v>
      </c>
      <c r="P33" t="s">
        <v>201</v>
      </c>
      <c r="R33" t="s">
        <v>202</v>
      </c>
    </row>
    <row r="34" spans="1:18" x14ac:dyDescent="0.2">
      <c r="A34" t="s">
        <v>404</v>
      </c>
      <c r="B34" s="8">
        <v>38410333</v>
      </c>
      <c r="C34">
        <v>33</v>
      </c>
      <c r="D34" t="s">
        <v>20</v>
      </c>
      <c r="E34" t="s">
        <v>203</v>
      </c>
      <c r="F34" t="s">
        <v>22</v>
      </c>
      <c r="G34" t="s">
        <v>204</v>
      </c>
      <c r="K34" t="s">
        <v>205</v>
      </c>
      <c r="O34" t="s">
        <v>206</v>
      </c>
      <c r="P34" t="s">
        <v>207</v>
      </c>
      <c r="R34" t="s">
        <v>208</v>
      </c>
    </row>
    <row r="35" spans="1:18" x14ac:dyDescent="0.2">
      <c r="A35" t="s">
        <v>404</v>
      </c>
      <c r="B35" s="8">
        <v>3525210465</v>
      </c>
      <c r="C35">
        <v>56</v>
      </c>
      <c r="D35" t="s">
        <v>30</v>
      </c>
      <c r="E35" t="s">
        <v>209</v>
      </c>
      <c r="G35" t="s">
        <v>210</v>
      </c>
      <c r="J35" t="s">
        <v>211</v>
      </c>
      <c r="K35" t="s">
        <v>212</v>
      </c>
      <c r="R35" t="s">
        <v>213</v>
      </c>
    </row>
    <row r="36" spans="1:18" x14ac:dyDescent="0.2">
      <c r="A36" t="s">
        <v>404</v>
      </c>
      <c r="B36" s="8">
        <v>2010394</v>
      </c>
      <c r="C36">
        <v>33</v>
      </c>
      <c r="D36" t="s">
        <v>30</v>
      </c>
      <c r="E36" t="s">
        <v>214</v>
      </c>
      <c r="F36" t="s">
        <v>22</v>
      </c>
      <c r="G36" t="s">
        <v>215</v>
      </c>
      <c r="K36" t="s">
        <v>216</v>
      </c>
      <c r="P36" t="s">
        <v>217</v>
      </c>
      <c r="R36" t="s">
        <v>218</v>
      </c>
    </row>
    <row r="37" spans="1:18" x14ac:dyDescent="0.2">
      <c r="A37" t="s">
        <v>404</v>
      </c>
      <c r="B37" s="8">
        <v>62910668</v>
      </c>
      <c r="C37">
        <v>59</v>
      </c>
      <c r="D37" t="s">
        <v>30</v>
      </c>
      <c r="E37" t="s">
        <v>219</v>
      </c>
      <c r="F37" t="s">
        <v>22</v>
      </c>
      <c r="G37" t="s">
        <v>220</v>
      </c>
      <c r="H37" t="s">
        <v>221</v>
      </c>
      <c r="N37" t="s">
        <v>222</v>
      </c>
      <c r="P37" t="s">
        <v>223</v>
      </c>
      <c r="R37" t="s">
        <v>224</v>
      </c>
    </row>
    <row r="38" spans="1:18" x14ac:dyDescent="0.2">
      <c r="A38" t="s">
        <v>404</v>
      </c>
      <c r="B38" s="8">
        <v>75310568</v>
      </c>
      <c r="C38">
        <v>54</v>
      </c>
      <c r="D38" t="s">
        <v>20</v>
      </c>
      <c r="E38" t="s">
        <v>225</v>
      </c>
      <c r="F38" t="s">
        <v>44</v>
      </c>
      <c r="G38" t="s">
        <v>220</v>
      </c>
      <c r="H38" t="s">
        <v>226</v>
      </c>
      <c r="J38" t="s">
        <v>227</v>
      </c>
      <c r="K38" t="s">
        <v>228</v>
      </c>
      <c r="N38" t="s">
        <v>229</v>
      </c>
      <c r="R38" t="s">
        <v>230</v>
      </c>
    </row>
    <row r="39" spans="1:18" x14ac:dyDescent="0.2">
      <c r="A39" t="s">
        <v>404</v>
      </c>
      <c r="B39" s="8">
        <v>120310166</v>
      </c>
      <c r="C39">
        <v>33</v>
      </c>
      <c r="D39" t="s">
        <v>20</v>
      </c>
      <c r="E39" t="s">
        <v>231</v>
      </c>
      <c r="F39" t="s">
        <v>44</v>
      </c>
      <c r="G39" t="s">
        <v>220</v>
      </c>
      <c r="H39" t="s">
        <v>232</v>
      </c>
      <c r="J39" t="s">
        <v>233</v>
      </c>
      <c r="K39" t="s">
        <v>234</v>
      </c>
      <c r="O39" t="s">
        <v>235</v>
      </c>
      <c r="P39" t="s">
        <v>236</v>
      </c>
      <c r="R39" t="s">
        <v>237</v>
      </c>
    </row>
    <row r="40" spans="1:18" x14ac:dyDescent="0.2">
      <c r="A40" t="s">
        <v>406</v>
      </c>
      <c r="B40" s="8">
        <v>319810053</v>
      </c>
      <c r="C40">
        <v>13</v>
      </c>
      <c r="D40" t="s">
        <v>30</v>
      </c>
      <c r="E40" t="s">
        <v>238</v>
      </c>
      <c r="F40" t="s">
        <v>22</v>
      </c>
      <c r="G40" t="s">
        <v>215</v>
      </c>
      <c r="N40" t="s">
        <v>239</v>
      </c>
      <c r="P40" t="s">
        <v>240</v>
      </c>
      <c r="R40" t="s">
        <v>241</v>
      </c>
    </row>
    <row r="41" spans="1:18" x14ac:dyDescent="0.2">
      <c r="A41" t="s">
        <v>404</v>
      </c>
      <c r="B41" s="8">
        <v>341210634</v>
      </c>
      <c r="C41">
        <v>17</v>
      </c>
      <c r="D41" t="s">
        <v>30</v>
      </c>
      <c r="E41" t="s">
        <v>242</v>
      </c>
      <c r="F41" t="s">
        <v>44</v>
      </c>
      <c r="G41" t="s">
        <v>220</v>
      </c>
      <c r="K41" t="s">
        <v>243</v>
      </c>
      <c r="P41" t="s">
        <v>244</v>
      </c>
      <c r="R41" t="s">
        <v>245</v>
      </c>
    </row>
    <row r="42" spans="1:18" x14ac:dyDescent="0.2">
      <c r="A42" t="s">
        <v>405</v>
      </c>
      <c r="B42" s="8">
        <v>362110891</v>
      </c>
      <c r="C42">
        <v>40</v>
      </c>
      <c r="D42" t="s">
        <v>30</v>
      </c>
      <c r="E42" t="s">
        <v>246</v>
      </c>
      <c r="G42" t="s">
        <v>220</v>
      </c>
      <c r="H42" t="s">
        <v>247</v>
      </c>
      <c r="J42" t="s">
        <v>248</v>
      </c>
      <c r="K42" t="s">
        <v>249</v>
      </c>
      <c r="P42" t="s">
        <v>250</v>
      </c>
      <c r="R42" t="s">
        <v>251</v>
      </c>
    </row>
    <row r="43" spans="1:18" x14ac:dyDescent="0.2">
      <c r="A43" t="s">
        <v>404</v>
      </c>
      <c r="B43" s="8">
        <v>370010311</v>
      </c>
      <c r="C43">
        <v>79</v>
      </c>
      <c r="D43" t="s">
        <v>30</v>
      </c>
      <c r="E43" t="s">
        <v>252</v>
      </c>
      <c r="F43" t="s">
        <v>44</v>
      </c>
      <c r="G43" t="s">
        <v>220</v>
      </c>
      <c r="K43" t="s">
        <v>253</v>
      </c>
    </row>
    <row r="44" spans="1:18" x14ac:dyDescent="0.2">
      <c r="A44" t="s">
        <v>404</v>
      </c>
      <c r="B44" s="8">
        <v>461910966</v>
      </c>
      <c r="C44">
        <v>31</v>
      </c>
      <c r="D44" t="s">
        <v>30</v>
      </c>
      <c r="E44" t="s">
        <v>254</v>
      </c>
      <c r="F44" t="s">
        <v>44</v>
      </c>
      <c r="G44" t="s">
        <v>220</v>
      </c>
      <c r="R44" t="s">
        <v>255</v>
      </c>
    </row>
    <row r="45" spans="1:18" x14ac:dyDescent="0.2">
      <c r="A45" t="s">
        <v>404</v>
      </c>
      <c r="B45" s="8">
        <v>515410701</v>
      </c>
      <c r="C45">
        <v>58</v>
      </c>
      <c r="D45" t="s">
        <v>20</v>
      </c>
      <c r="E45" t="s">
        <v>256</v>
      </c>
      <c r="F45" t="s">
        <v>44</v>
      </c>
      <c r="G45" t="s">
        <v>257</v>
      </c>
      <c r="K45" t="s">
        <v>258</v>
      </c>
      <c r="O45" t="s">
        <v>259</v>
      </c>
      <c r="P45" t="s">
        <v>260</v>
      </c>
      <c r="R45" t="s">
        <v>261</v>
      </c>
    </row>
    <row r="46" spans="1:18" x14ac:dyDescent="0.2">
      <c r="A46" t="s">
        <v>404</v>
      </c>
      <c r="B46" s="8">
        <v>603810956</v>
      </c>
      <c r="C46">
        <v>18</v>
      </c>
      <c r="D46" t="s">
        <v>20</v>
      </c>
      <c r="E46" t="s">
        <v>262</v>
      </c>
      <c r="F46" t="s">
        <v>44</v>
      </c>
      <c r="G46" t="s">
        <v>220</v>
      </c>
      <c r="K46" t="s">
        <v>263</v>
      </c>
    </row>
    <row r="47" spans="1:18" x14ac:dyDescent="0.2">
      <c r="A47" t="s">
        <v>405</v>
      </c>
      <c r="B47" s="8">
        <v>689210365</v>
      </c>
      <c r="C47">
        <v>71</v>
      </c>
      <c r="D47" t="s">
        <v>30</v>
      </c>
      <c r="E47" t="s">
        <v>264</v>
      </c>
      <c r="F47" t="s">
        <v>22</v>
      </c>
      <c r="G47" t="s">
        <v>215</v>
      </c>
      <c r="H47" t="s">
        <v>265</v>
      </c>
      <c r="K47" t="s">
        <v>266</v>
      </c>
      <c r="N47" t="s">
        <v>267</v>
      </c>
      <c r="P47" t="s">
        <v>268</v>
      </c>
      <c r="R47" t="s">
        <v>269</v>
      </c>
    </row>
    <row r="48" spans="1:18" x14ac:dyDescent="0.2">
      <c r="A48" t="s">
        <v>406</v>
      </c>
      <c r="B48" s="8">
        <v>726310128</v>
      </c>
      <c r="C48">
        <v>17</v>
      </c>
      <c r="D48" t="s">
        <v>20</v>
      </c>
      <c r="E48" t="s">
        <v>270</v>
      </c>
      <c r="F48" t="s">
        <v>44</v>
      </c>
      <c r="G48" t="s">
        <v>220</v>
      </c>
      <c r="N48" t="s">
        <v>271</v>
      </c>
      <c r="R48" t="s">
        <v>272</v>
      </c>
    </row>
    <row r="49" spans="1:18" x14ac:dyDescent="0.2">
      <c r="A49" t="s">
        <v>404</v>
      </c>
      <c r="B49" s="8">
        <v>740710960</v>
      </c>
      <c r="C49">
        <v>12</v>
      </c>
      <c r="D49" t="s">
        <v>20</v>
      </c>
      <c r="E49" t="s">
        <v>273</v>
      </c>
      <c r="F49" t="s">
        <v>44</v>
      </c>
      <c r="G49" t="s">
        <v>220</v>
      </c>
      <c r="N49" t="s">
        <v>274</v>
      </c>
      <c r="P49" t="s">
        <v>275</v>
      </c>
      <c r="R49" t="s">
        <v>276</v>
      </c>
    </row>
    <row r="50" spans="1:18" x14ac:dyDescent="0.2">
      <c r="A50" t="s">
        <v>406</v>
      </c>
      <c r="B50" s="8">
        <v>741610129</v>
      </c>
      <c r="C50">
        <v>24</v>
      </c>
      <c r="D50" t="s">
        <v>30</v>
      </c>
      <c r="E50" t="s">
        <v>277</v>
      </c>
      <c r="F50" t="s">
        <v>44</v>
      </c>
      <c r="G50" t="s">
        <v>220</v>
      </c>
      <c r="H50" t="s">
        <v>278</v>
      </c>
      <c r="K50" t="s">
        <v>279</v>
      </c>
      <c r="N50" t="s">
        <v>280</v>
      </c>
      <c r="P50" t="s">
        <v>281</v>
      </c>
      <c r="R50" t="s">
        <v>282</v>
      </c>
    </row>
    <row r="51" spans="1:18" x14ac:dyDescent="0.2">
      <c r="A51" t="s">
        <v>405</v>
      </c>
      <c r="B51" s="8">
        <v>795410971</v>
      </c>
      <c r="C51">
        <v>2</v>
      </c>
      <c r="D51" t="s">
        <v>20</v>
      </c>
      <c r="E51" t="s">
        <v>283</v>
      </c>
      <c r="F51" t="s">
        <v>44</v>
      </c>
      <c r="G51" t="s">
        <v>220</v>
      </c>
      <c r="N51" t="s">
        <v>284</v>
      </c>
    </row>
    <row r="52" spans="1:18" x14ac:dyDescent="0.2">
      <c r="A52" t="s">
        <v>404</v>
      </c>
      <c r="B52" s="8">
        <v>818210372</v>
      </c>
      <c r="C52">
        <v>57</v>
      </c>
      <c r="D52" t="s">
        <v>30</v>
      </c>
      <c r="E52" t="s">
        <v>285</v>
      </c>
      <c r="F52" t="s">
        <v>44</v>
      </c>
      <c r="G52" t="s">
        <v>220</v>
      </c>
      <c r="K52" t="s">
        <v>286</v>
      </c>
      <c r="N52" t="s">
        <v>287</v>
      </c>
      <c r="R52" t="s">
        <v>288</v>
      </c>
    </row>
    <row r="53" spans="1:18" x14ac:dyDescent="0.2">
      <c r="A53" t="s">
        <v>404</v>
      </c>
      <c r="B53" s="8">
        <v>826210737</v>
      </c>
      <c r="C53">
        <v>3</v>
      </c>
      <c r="D53" t="s">
        <v>20</v>
      </c>
      <c r="E53" t="s">
        <v>289</v>
      </c>
      <c r="F53" t="s">
        <v>44</v>
      </c>
      <c r="G53" t="s">
        <v>220</v>
      </c>
      <c r="R53" t="s">
        <v>290</v>
      </c>
    </row>
    <row r="54" spans="1:18" x14ac:dyDescent="0.2">
      <c r="A54" t="s">
        <v>404</v>
      </c>
      <c r="B54" s="8">
        <v>870510178</v>
      </c>
      <c r="C54">
        <v>60</v>
      </c>
      <c r="D54" t="s">
        <v>30</v>
      </c>
      <c r="E54" t="s">
        <v>291</v>
      </c>
      <c r="F54" t="s">
        <v>22</v>
      </c>
      <c r="G54" t="s">
        <v>220</v>
      </c>
      <c r="O54" t="s">
        <v>292</v>
      </c>
      <c r="P54" t="s">
        <v>293</v>
      </c>
      <c r="R54" t="s">
        <v>294</v>
      </c>
    </row>
    <row r="55" spans="1:18" x14ac:dyDescent="0.2">
      <c r="A55" t="s">
        <v>404</v>
      </c>
      <c r="B55" s="8">
        <v>888710791</v>
      </c>
      <c r="C55">
        <v>12</v>
      </c>
      <c r="D55" t="s">
        <v>20</v>
      </c>
      <c r="E55" t="s">
        <v>295</v>
      </c>
      <c r="F55" t="s">
        <v>22</v>
      </c>
      <c r="G55" t="s">
        <v>220</v>
      </c>
      <c r="N55" t="s">
        <v>296</v>
      </c>
      <c r="R55" t="s">
        <v>297</v>
      </c>
    </row>
    <row r="56" spans="1:18" x14ac:dyDescent="0.2">
      <c r="A56" t="s">
        <v>405</v>
      </c>
      <c r="B56" s="8">
        <v>932610840</v>
      </c>
      <c r="C56">
        <v>13</v>
      </c>
      <c r="D56" t="s">
        <v>20</v>
      </c>
      <c r="E56" t="s">
        <v>298</v>
      </c>
      <c r="F56" t="s">
        <v>44</v>
      </c>
      <c r="G56" t="s">
        <v>220</v>
      </c>
      <c r="H56" t="s">
        <v>299</v>
      </c>
      <c r="N56" t="s">
        <v>300</v>
      </c>
      <c r="O56" t="s">
        <v>299</v>
      </c>
      <c r="R56" t="s">
        <v>301</v>
      </c>
    </row>
    <row r="57" spans="1:18" x14ac:dyDescent="0.2">
      <c r="A57" t="s">
        <v>406</v>
      </c>
      <c r="B57" s="8">
        <v>954410764</v>
      </c>
      <c r="C57">
        <v>19</v>
      </c>
      <c r="D57" t="s">
        <v>20</v>
      </c>
      <c r="E57" t="s">
        <v>302</v>
      </c>
      <c r="F57" t="s">
        <v>22</v>
      </c>
      <c r="G57" t="s">
        <v>220</v>
      </c>
      <c r="N57" t="s">
        <v>303</v>
      </c>
      <c r="R57" t="s">
        <v>304</v>
      </c>
    </row>
    <row r="58" spans="1:18" x14ac:dyDescent="0.2">
      <c r="A58" t="s">
        <v>406</v>
      </c>
      <c r="B58" s="8">
        <v>959010761</v>
      </c>
      <c r="C58">
        <v>9</v>
      </c>
      <c r="D58" t="s">
        <v>20</v>
      </c>
      <c r="E58" t="s">
        <v>305</v>
      </c>
      <c r="F58" t="s">
        <v>44</v>
      </c>
      <c r="G58" t="s">
        <v>220</v>
      </c>
      <c r="H58" t="s">
        <v>306</v>
      </c>
      <c r="P58" t="s">
        <v>307</v>
      </c>
      <c r="R58" t="s">
        <v>308</v>
      </c>
    </row>
    <row r="59" spans="1:18" x14ac:dyDescent="0.2">
      <c r="A59" t="s">
        <v>404</v>
      </c>
      <c r="B59" s="8">
        <v>1084310679</v>
      </c>
      <c r="C59">
        <v>14</v>
      </c>
      <c r="D59" t="s">
        <v>30</v>
      </c>
      <c r="E59" t="s">
        <v>309</v>
      </c>
      <c r="F59" t="s">
        <v>44</v>
      </c>
      <c r="G59" t="s">
        <v>220</v>
      </c>
      <c r="O59" t="s">
        <v>310</v>
      </c>
      <c r="R59" t="s">
        <v>311</v>
      </c>
    </row>
    <row r="60" spans="1:18" x14ac:dyDescent="0.2">
      <c r="A60" t="s">
        <v>404</v>
      </c>
      <c r="B60" s="8">
        <v>1084510775</v>
      </c>
      <c r="C60">
        <v>14</v>
      </c>
      <c r="D60" t="s">
        <v>20</v>
      </c>
      <c r="E60" t="s">
        <v>312</v>
      </c>
      <c r="F60" t="s">
        <v>44</v>
      </c>
      <c r="G60" t="s">
        <v>220</v>
      </c>
      <c r="H60" t="s">
        <v>313</v>
      </c>
      <c r="K60" t="s">
        <v>314</v>
      </c>
      <c r="N60" t="s">
        <v>315</v>
      </c>
      <c r="P60" t="s">
        <v>316</v>
      </c>
      <c r="R60" t="s">
        <v>317</v>
      </c>
    </row>
    <row r="61" spans="1:18" x14ac:dyDescent="0.2">
      <c r="A61" t="s">
        <v>406</v>
      </c>
      <c r="B61" s="8">
        <v>1086910999</v>
      </c>
      <c r="C61">
        <v>27</v>
      </c>
      <c r="D61" t="s">
        <v>30</v>
      </c>
      <c r="E61" t="s">
        <v>318</v>
      </c>
      <c r="F61" t="s">
        <v>44</v>
      </c>
      <c r="G61" t="s">
        <v>220</v>
      </c>
      <c r="N61" t="s">
        <v>319</v>
      </c>
      <c r="R61" t="s">
        <v>320</v>
      </c>
    </row>
    <row r="62" spans="1:18" x14ac:dyDescent="0.2">
      <c r="A62" t="s">
        <v>406</v>
      </c>
      <c r="B62" s="8">
        <v>1377210629</v>
      </c>
      <c r="C62">
        <v>50</v>
      </c>
      <c r="D62" t="s">
        <v>20</v>
      </c>
      <c r="E62" t="s">
        <v>321</v>
      </c>
      <c r="F62" t="s">
        <v>44</v>
      </c>
      <c r="G62" t="s">
        <v>220</v>
      </c>
      <c r="H62" t="s">
        <v>322</v>
      </c>
      <c r="N62" t="s">
        <v>323</v>
      </c>
      <c r="R62" t="s">
        <v>324</v>
      </c>
    </row>
    <row r="63" spans="1:18" x14ac:dyDescent="0.2">
      <c r="A63" t="s">
        <v>406</v>
      </c>
      <c r="B63" s="8">
        <v>1559910397</v>
      </c>
      <c r="C63">
        <v>13</v>
      </c>
      <c r="D63" t="s">
        <v>30</v>
      </c>
      <c r="E63" t="s">
        <v>325</v>
      </c>
      <c r="F63" t="s">
        <v>22</v>
      </c>
      <c r="G63" t="s">
        <v>220</v>
      </c>
      <c r="K63" t="s">
        <v>326</v>
      </c>
      <c r="N63" t="s">
        <v>327</v>
      </c>
      <c r="P63" t="s">
        <v>328</v>
      </c>
      <c r="R63" t="s">
        <v>329</v>
      </c>
    </row>
    <row r="64" spans="1:18" x14ac:dyDescent="0.2">
      <c r="A64" t="s">
        <v>404</v>
      </c>
      <c r="B64" s="8">
        <v>1602410226</v>
      </c>
      <c r="C64">
        <v>27</v>
      </c>
      <c r="D64" t="s">
        <v>20</v>
      </c>
      <c r="E64" t="s">
        <v>330</v>
      </c>
      <c r="F64" t="s">
        <v>44</v>
      </c>
      <c r="G64" t="s">
        <v>220</v>
      </c>
      <c r="K64" t="s">
        <v>331</v>
      </c>
      <c r="N64" t="s">
        <v>332</v>
      </c>
      <c r="R64" t="s">
        <v>333</v>
      </c>
    </row>
    <row r="65" spans="1:18" x14ac:dyDescent="0.2">
      <c r="A65" t="s">
        <v>404</v>
      </c>
      <c r="B65" s="8">
        <v>1620610573</v>
      </c>
      <c r="C65">
        <v>63</v>
      </c>
      <c r="D65" t="s">
        <v>20</v>
      </c>
      <c r="E65" t="s">
        <v>334</v>
      </c>
      <c r="F65" t="s">
        <v>44</v>
      </c>
      <c r="G65" t="s">
        <v>220</v>
      </c>
      <c r="H65" t="s">
        <v>335</v>
      </c>
      <c r="K65" t="s">
        <v>336</v>
      </c>
      <c r="R65" t="s">
        <v>337</v>
      </c>
    </row>
    <row r="66" spans="1:18" x14ac:dyDescent="0.2">
      <c r="A66" t="s">
        <v>406</v>
      </c>
      <c r="B66" s="8">
        <v>1675410922</v>
      </c>
      <c r="C66">
        <v>31</v>
      </c>
      <c r="D66" t="s">
        <v>30</v>
      </c>
      <c r="E66" t="s">
        <v>338</v>
      </c>
      <c r="F66" t="s">
        <v>44</v>
      </c>
      <c r="G66" t="s">
        <v>220</v>
      </c>
      <c r="N66" t="s">
        <v>339</v>
      </c>
      <c r="R66" t="s">
        <v>340</v>
      </c>
    </row>
    <row r="67" spans="1:18" x14ac:dyDescent="0.2">
      <c r="A67" t="s">
        <v>406</v>
      </c>
      <c r="B67" s="8">
        <v>1759410412</v>
      </c>
      <c r="C67">
        <v>68</v>
      </c>
      <c r="D67" t="s">
        <v>20</v>
      </c>
      <c r="E67" t="s">
        <v>341</v>
      </c>
      <c r="F67" t="s">
        <v>44</v>
      </c>
      <c r="G67" t="s">
        <v>220</v>
      </c>
      <c r="H67" t="s">
        <v>342</v>
      </c>
      <c r="O67" t="s">
        <v>342</v>
      </c>
      <c r="P67" t="s">
        <v>343</v>
      </c>
      <c r="R67" t="s">
        <v>344</v>
      </c>
    </row>
    <row r="68" spans="1:18" x14ac:dyDescent="0.2">
      <c r="A68" t="s">
        <v>406</v>
      </c>
      <c r="B68" s="8">
        <v>1833510766</v>
      </c>
      <c r="C68">
        <v>4</v>
      </c>
      <c r="D68" t="s">
        <v>20</v>
      </c>
      <c r="E68" t="s">
        <v>345</v>
      </c>
      <c r="F68" t="s">
        <v>44</v>
      </c>
      <c r="G68" t="s">
        <v>220</v>
      </c>
      <c r="N68" t="s">
        <v>346</v>
      </c>
      <c r="P68" t="s">
        <v>347</v>
      </c>
      <c r="R68" t="s">
        <v>348</v>
      </c>
    </row>
    <row r="69" spans="1:18" x14ac:dyDescent="0.2">
      <c r="A69" t="s">
        <v>404</v>
      </c>
      <c r="B69" s="8">
        <v>2079410115</v>
      </c>
      <c r="C69">
        <v>48</v>
      </c>
      <c r="D69" t="s">
        <v>20</v>
      </c>
      <c r="E69" t="s">
        <v>349</v>
      </c>
      <c r="F69" t="s">
        <v>22</v>
      </c>
      <c r="G69" t="s">
        <v>215</v>
      </c>
      <c r="N69" t="s">
        <v>350</v>
      </c>
      <c r="P69" t="s">
        <v>351</v>
      </c>
      <c r="R69" t="s">
        <v>352</v>
      </c>
    </row>
    <row r="70" spans="1:18" x14ac:dyDescent="0.2">
      <c r="A70" t="s">
        <v>404</v>
      </c>
      <c r="B70" s="8">
        <v>2134710591</v>
      </c>
      <c r="C70">
        <v>41</v>
      </c>
      <c r="D70" t="s">
        <v>20</v>
      </c>
      <c r="E70" t="s">
        <v>353</v>
      </c>
      <c r="F70" t="s">
        <v>44</v>
      </c>
      <c r="G70" t="s">
        <v>220</v>
      </c>
      <c r="H70" t="s">
        <v>354</v>
      </c>
      <c r="R70" t="s">
        <v>355</v>
      </c>
    </row>
    <row r="71" spans="1:18" x14ac:dyDescent="0.2">
      <c r="A71" t="s">
        <v>405</v>
      </c>
      <c r="B71" s="8">
        <v>2335110194</v>
      </c>
      <c r="C71">
        <v>56</v>
      </c>
      <c r="D71" t="s">
        <v>30</v>
      </c>
      <c r="E71" t="s">
        <v>356</v>
      </c>
      <c r="F71" t="s">
        <v>22</v>
      </c>
      <c r="G71" t="s">
        <v>220</v>
      </c>
      <c r="H71" t="s">
        <v>357</v>
      </c>
      <c r="J71" t="s">
        <v>358</v>
      </c>
      <c r="K71" t="s">
        <v>359</v>
      </c>
      <c r="N71" t="s">
        <v>360</v>
      </c>
      <c r="P71" t="s">
        <v>361</v>
      </c>
      <c r="R71" t="s">
        <v>362</v>
      </c>
    </row>
    <row r="72" spans="1:18" x14ac:dyDescent="0.2">
      <c r="A72" t="s">
        <v>406</v>
      </c>
      <c r="B72" s="8">
        <v>2482010040</v>
      </c>
      <c r="C72">
        <v>39</v>
      </c>
      <c r="D72" t="s">
        <v>30</v>
      </c>
      <c r="E72" t="s">
        <v>363</v>
      </c>
      <c r="F72" t="s">
        <v>44</v>
      </c>
      <c r="G72" t="s">
        <v>220</v>
      </c>
      <c r="H72" t="s">
        <v>364</v>
      </c>
      <c r="K72" t="s">
        <v>365</v>
      </c>
      <c r="N72" t="s">
        <v>366</v>
      </c>
      <c r="O72" t="s">
        <v>367</v>
      </c>
      <c r="R72" t="s">
        <v>368</v>
      </c>
    </row>
    <row r="73" spans="1:18" x14ac:dyDescent="0.2">
      <c r="A73" t="s">
        <v>404</v>
      </c>
      <c r="B73" s="8">
        <v>2489610789</v>
      </c>
      <c r="C73">
        <v>21</v>
      </c>
      <c r="D73" t="s">
        <v>20</v>
      </c>
      <c r="E73" t="s">
        <v>369</v>
      </c>
      <c r="F73" t="s">
        <v>22</v>
      </c>
      <c r="G73" t="s">
        <v>220</v>
      </c>
      <c r="P73" t="s">
        <v>370</v>
      </c>
      <c r="R73" t="s">
        <v>371</v>
      </c>
    </row>
    <row r="74" spans="1:18" x14ac:dyDescent="0.2">
      <c r="A74" t="s">
        <v>404</v>
      </c>
      <c r="B74" s="8">
        <v>2615910492</v>
      </c>
      <c r="C74">
        <v>29</v>
      </c>
      <c r="D74" t="s">
        <v>30</v>
      </c>
      <c r="E74" t="s">
        <v>372</v>
      </c>
      <c r="F74" t="s">
        <v>44</v>
      </c>
      <c r="G74" t="s">
        <v>220</v>
      </c>
      <c r="O74" t="s">
        <v>373</v>
      </c>
      <c r="P74" t="s">
        <v>374</v>
      </c>
      <c r="R74" t="s">
        <v>375</v>
      </c>
    </row>
    <row r="75" spans="1:18" x14ac:dyDescent="0.2">
      <c r="A75" t="s">
        <v>405</v>
      </c>
      <c r="B75" s="8">
        <v>2723810058</v>
      </c>
      <c r="C75">
        <v>72</v>
      </c>
      <c r="D75" t="s">
        <v>30</v>
      </c>
      <c r="E75" t="s">
        <v>376</v>
      </c>
      <c r="F75" t="s">
        <v>44</v>
      </c>
      <c r="G75" t="s">
        <v>220</v>
      </c>
      <c r="H75" t="s">
        <v>377</v>
      </c>
      <c r="J75" t="s">
        <v>378</v>
      </c>
      <c r="K75" t="s">
        <v>379</v>
      </c>
      <c r="R75" t="s">
        <v>380</v>
      </c>
    </row>
    <row r="76" spans="1:18" x14ac:dyDescent="0.2">
      <c r="A76" t="s">
        <v>404</v>
      </c>
      <c r="B76" s="8">
        <v>2850010979</v>
      </c>
      <c r="C76">
        <v>2</v>
      </c>
      <c r="D76" t="s">
        <v>30</v>
      </c>
      <c r="E76" t="s">
        <v>381</v>
      </c>
      <c r="F76" t="s">
        <v>44</v>
      </c>
      <c r="G76" t="s">
        <v>220</v>
      </c>
      <c r="N76" t="s">
        <v>382</v>
      </c>
      <c r="R76" t="s">
        <v>383</v>
      </c>
    </row>
    <row r="77" spans="1:18" x14ac:dyDescent="0.2">
      <c r="A77" t="s">
        <v>404</v>
      </c>
      <c r="B77" s="8">
        <v>2946010373</v>
      </c>
      <c r="C77">
        <v>31</v>
      </c>
      <c r="D77" t="s">
        <v>30</v>
      </c>
      <c r="E77" t="s">
        <v>384</v>
      </c>
      <c r="F77" t="s">
        <v>22</v>
      </c>
      <c r="G77" t="s">
        <v>220</v>
      </c>
      <c r="K77" t="s">
        <v>385</v>
      </c>
      <c r="P77" t="s">
        <v>386</v>
      </c>
      <c r="R77" t="s">
        <v>387</v>
      </c>
    </row>
    <row r="78" spans="1:18" x14ac:dyDescent="0.2">
      <c r="A78" t="s">
        <v>404</v>
      </c>
      <c r="B78" s="8">
        <v>3181110734</v>
      </c>
      <c r="C78">
        <v>21</v>
      </c>
      <c r="D78" t="s">
        <v>30</v>
      </c>
      <c r="E78" t="s">
        <v>388</v>
      </c>
      <c r="F78" t="s">
        <v>44</v>
      </c>
      <c r="G78" t="s">
        <v>220</v>
      </c>
      <c r="R78" t="s">
        <v>389</v>
      </c>
    </row>
    <row r="79" spans="1:18" x14ac:dyDescent="0.2">
      <c r="A79" t="s">
        <v>406</v>
      </c>
      <c r="B79" s="8">
        <v>3212210166</v>
      </c>
      <c r="C79">
        <v>39</v>
      </c>
      <c r="D79" t="s">
        <v>30</v>
      </c>
      <c r="E79" t="s">
        <v>390</v>
      </c>
      <c r="F79" t="s">
        <v>44</v>
      </c>
      <c r="G79" t="s">
        <v>220</v>
      </c>
      <c r="P79" t="s">
        <v>391</v>
      </c>
      <c r="R79" t="s">
        <v>392</v>
      </c>
    </row>
    <row r="80" spans="1:18" x14ac:dyDescent="0.2">
      <c r="A80" t="s">
        <v>404</v>
      </c>
      <c r="B80" s="8">
        <v>3266510164</v>
      </c>
      <c r="C80">
        <v>60</v>
      </c>
      <c r="D80" t="s">
        <v>30</v>
      </c>
      <c r="E80" t="s">
        <v>393</v>
      </c>
      <c r="F80" t="s">
        <v>44</v>
      </c>
      <c r="G80" t="s">
        <v>220</v>
      </c>
      <c r="H80" t="s">
        <v>394</v>
      </c>
      <c r="K80" t="s">
        <v>395</v>
      </c>
      <c r="N80" t="s">
        <v>396</v>
      </c>
      <c r="O80" t="s">
        <v>394</v>
      </c>
      <c r="P80" t="s">
        <v>397</v>
      </c>
      <c r="R80" t="s">
        <v>398</v>
      </c>
    </row>
    <row r="81" spans="1:18" x14ac:dyDescent="0.2">
      <c r="A81" t="s">
        <v>404</v>
      </c>
      <c r="B81" s="8">
        <v>3354710424</v>
      </c>
      <c r="C81">
        <v>24</v>
      </c>
      <c r="D81" t="s">
        <v>30</v>
      </c>
      <c r="E81" t="s">
        <v>399</v>
      </c>
      <c r="F81" t="s">
        <v>22</v>
      </c>
      <c r="G81" t="s">
        <v>220</v>
      </c>
      <c r="P81" t="s">
        <v>400</v>
      </c>
      <c r="R81" t="s">
        <v>401</v>
      </c>
    </row>
    <row r="82" spans="1:18" x14ac:dyDescent="0.2">
      <c r="A82" t="s">
        <v>404</v>
      </c>
      <c r="B82" s="8">
        <v>9461110544</v>
      </c>
      <c r="C82">
        <v>3</v>
      </c>
      <c r="D82" t="s">
        <v>20</v>
      </c>
      <c r="E82" t="s">
        <v>402</v>
      </c>
      <c r="F82" t="s">
        <v>44</v>
      </c>
      <c r="G82" t="s">
        <v>220</v>
      </c>
      <c r="R82" t="s">
        <v>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C051-D481-6349-9424-D99AF26F3262}">
  <dimension ref="A3:B7"/>
  <sheetViews>
    <sheetView workbookViewId="0">
      <selection activeCell="B11" sqref="B11"/>
    </sheetView>
  </sheetViews>
  <sheetFormatPr baseColWidth="10" defaultRowHeight="16" x14ac:dyDescent="0.2"/>
  <cols>
    <col min="1" max="1" width="24.1640625" bestFit="1" customWidth="1"/>
    <col min="2" max="2" width="45.1640625" bestFit="1" customWidth="1"/>
  </cols>
  <sheetData>
    <row r="3" spans="1:2" x14ac:dyDescent="0.2">
      <c r="A3" s="10" t="s">
        <v>407</v>
      </c>
      <c r="B3" t="s">
        <v>410</v>
      </c>
    </row>
    <row r="4" spans="1:2" x14ac:dyDescent="0.2">
      <c r="A4" s="11" t="s">
        <v>406</v>
      </c>
      <c r="B4">
        <v>20</v>
      </c>
    </row>
    <row r="5" spans="1:2" x14ac:dyDescent="0.2">
      <c r="A5" s="11" t="s">
        <v>405</v>
      </c>
      <c r="B5">
        <v>11</v>
      </c>
    </row>
    <row r="6" spans="1:2" x14ac:dyDescent="0.2">
      <c r="A6" s="11" t="s">
        <v>404</v>
      </c>
      <c r="B6">
        <v>50</v>
      </c>
    </row>
    <row r="7" spans="1:2" x14ac:dyDescent="0.2">
      <c r="A7" s="11" t="s">
        <v>408</v>
      </c>
      <c r="B7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5F78-D074-714F-BF0F-95D86B7D5943}">
  <dimension ref="A1:S82"/>
  <sheetViews>
    <sheetView workbookViewId="0"/>
  </sheetViews>
  <sheetFormatPr baseColWidth="10" defaultColWidth="8.83203125" defaultRowHeight="15" x14ac:dyDescent="0.2"/>
  <cols>
    <col min="1" max="16384" width="8.83203125" style="2"/>
  </cols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 s="2" t="s">
        <v>406</v>
      </c>
      <c r="B2" s="2">
        <v>7810823</v>
      </c>
      <c r="C2" s="2">
        <v>53</v>
      </c>
      <c r="D2" s="2" t="s">
        <v>20</v>
      </c>
      <c r="E2" s="2" t="s">
        <v>21</v>
      </c>
      <c r="F2" s="2" t="s">
        <v>22</v>
      </c>
      <c r="G2" s="2" t="s">
        <v>23</v>
      </c>
      <c r="J2" s="2" t="s">
        <v>24</v>
      </c>
      <c r="K2" s="2" t="s">
        <v>25</v>
      </c>
      <c r="N2" s="2" t="s">
        <v>26</v>
      </c>
      <c r="P2" s="2" t="s">
        <v>27</v>
      </c>
      <c r="R2" s="2" t="s">
        <v>28</v>
      </c>
    </row>
    <row r="3" spans="1:19" x14ac:dyDescent="0.2">
      <c r="A3" s="2" t="s">
        <v>406</v>
      </c>
      <c r="B3" s="2">
        <v>2352010389</v>
      </c>
      <c r="C3" s="2">
        <v>20</v>
      </c>
      <c r="D3" s="2" t="s">
        <v>30</v>
      </c>
      <c r="E3" s="2" t="s">
        <v>31</v>
      </c>
      <c r="G3" s="2" t="s">
        <v>32</v>
      </c>
      <c r="H3" s="2" t="s">
        <v>33</v>
      </c>
      <c r="J3" s="2" t="s">
        <v>34</v>
      </c>
      <c r="N3" s="2" t="s">
        <v>35</v>
      </c>
      <c r="R3" s="2" t="s">
        <v>36</v>
      </c>
    </row>
    <row r="4" spans="1:19" x14ac:dyDescent="0.2">
      <c r="A4" s="2" t="s">
        <v>404</v>
      </c>
      <c r="B4" s="2">
        <v>244010017</v>
      </c>
      <c r="C4" s="2">
        <v>17</v>
      </c>
      <c r="D4" s="2" t="s">
        <v>20</v>
      </c>
      <c r="E4" s="2" t="s">
        <v>37</v>
      </c>
      <c r="G4" s="2" t="s">
        <v>38</v>
      </c>
      <c r="J4" s="2" t="s">
        <v>39</v>
      </c>
      <c r="K4" s="2" t="s">
        <v>40</v>
      </c>
      <c r="P4" s="2" t="s">
        <v>41</v>
      </c>
      <c r="R4" s="2" t="s">
        <v>42</v>
      </c>
    </row>
    <row r="5" spans="1:19" x14ac:dyDescent="0.2">
      <c r="A5" s="2" t="s">
        <v>406</v>
      </c>
      <c r="B5" s="2">
        <v>5359010662</v>
      </c>
      <c r="C5" s="2">
        <v>51</v>
      </c>
      <c r="D5" s="2" t="s">
        <v>30</v>
      </c>
      <c r="E5" s="2" t="s">
        <v>43</v>
      </c>
      <c r="F5" s="2" t="s">
        <v>44</v>
      </c>
      <c r="G5" s="2" t="s">
        <v>45</v>
      </c>
      <c r="N5" s="2" t="s">
        <v>46</v>
      </c>
      <c r="R5" s="2" t="s">
        <v>47</v>
      </c>
    </row>
    <row r="6" spans="1:19" x14ac:dyDescent="0.2">
      <c r="A6" s="2" t="s">
        <v>406</v>
      </c>
      <c r="B6" s="2">
        <v>261610479</v>
      </c>
      <c r="C6" s="2">
        <v>39</v>
      </c>
      <c r="D6" s="2" t="s">
        <v>20</v>
      </c>
      <c r="E6" s="2" t="s">
        <v>48</v>
      </c>
      <c r="G6" s="2" t="s">
        <v>49</v>
      </c>
      <c r="H6" s="2" t="s">
        <v>50</v>
      </c>
      <c r="J6" s="2" t="s">
        <v>51</v>
      </c>
      <c r="K6" s="2" t="s">
        <v>52</v>
      </c>
      <c r="N6" s="2" t="s">
        <v>53</v>
      </c>
      <c r="R6" s="2" t="s">
        <v>54</v>
      </c>
    </row>
    <row r="7" spans="1:19" x14ac:dyDescent="0.2">
      <c r="A7" s="2" t="s">
        <v>404</v>
      </c>
      <c r="B7" s="2">
        <v>378410775</v>
      </c>
      <c r="C7" s="2">
        <v>34</v>
      </c>
      <c r="D7" s="2" t="s">
        <v>30</v>
      </c>
      <c r="E7" s="2" t="s">
        <v>55</v>
      </c>
      <c r="G7" s="2" t="s">
        <v>56</v>
      </c>
      <c r="H7" s="2" t="s">
        <v>57</v>
      </c>
      <c r="J7" s="2" t="s">
        <v>58</v>
      </c>
      <c r="K7" s="2" t="s">
        <v>59</v>
      </c>
      <c r="N7" s="2" t="s">
        <v>60</v>
      </c>
      <c r="O7" s="2" t="s">
        <v>57</v>
      </c>
      <c r="P7" s="2" t="s">
        <v>61</v>
      </c>
      <c r="R7" s="2" t="s">
        <v>62</v>
      </c>
    </row>
    <row r="8" spans="1:19" x14ac:dyDescent="0.2">
      <c r="A8" s="2" t="s">
        <v>404</v>
      </c>
      <c r="B8" s="2">
        <v>1502010397</v>
      </c>
      <c r="C8" s="2">
        <v>16</v>
      </c>
      <c r="D8" s="2" t="s">
        <v>30</v>
      </c>
      <c r="E8" s="2" t="s">
        <v>64</v>
      </c>
      <c r="G8" s="2" t="s">
        <v>49</v>
      </c>
      <c r="J8" s="2" t="s">
        <v>65</v>
      </c>
      <c r="K8" s="2" t="s">
        <v>66</v>
      </c>
      <c r="R8" s="2" t="s">
        <v>67</v>
      </c>
    </row>
    <row r="9" spans="1:19" x14ac:dyDescent="0.2">
      <c r="A9" s="2" t="s">
        <v>406</v>
      </c>
      <c r="B9" s="2">
        <v>2353710622</v>
      </c>
      <c r="C9" s="2">
        <v>18</v>
      </c>
      <c r="D9" s="2" t="s">
        <v>20</v>
      </c>
      <c r="E9" s="2" t="s">
        <v>68</v>
      </c>
      <c r="G9" s="2" t="s">
        <v>49</v>
      </c>
      <c r="H9" s="2" t="s">
        <v>69</v>
      </c>
      <c r="J9" s="2" t="s">
        <v>70</v>
      </c>
      <c r="K9" s="2" t="s">
        <v>71</v>
      </c>
      <c r="N9" s="2" t="s">
        <v>72</v>
      </c>
      <c r="R9" s="2" t="s">
        <v>73</v>
      </c>
    </row>
    <row r="10" spans="1:19" x14ac:dyDescent="0.2">
      <c r="A10" s="2" t="s">
        <v>404</v>
      </c>
      <c r="B10" s="2">
        <v>1045410614</v>
      </c>
      <c r="C10" s="2">
        <v>40</v>
      </c>
      <c r="D10" s="2" t="s">
        <v>20</v>
      </c>
      <c r="E10" s="2" t="s">
        <v>74</v>
      </c>
      <c r="F10" s="2" t="s">
        <v>44</v>
      </c>
      <c r="G10" s="2" t="s">
        <v>75</v>
      </c>
      <c r="P10" s="2" t="s">
        <v>76</v>
      </c>
      <c r="R10" s="2" t="s">
        <v>77</v>
      </c>
    </row>
    <row r="11" spans="1:19" x14ac:dyDescent="0.2">
      <c r="A11" s="2" t="s">
        <v>404</v>
      </c>
      <c r="B11" s="2">
        <v>4803410866</v>
      </c>
      <c r="C11" s="2">
        <v>20</v>
      </c>
      <c r="D11" s="2" t="s">
        <v>20</v>
      </c>
      <c r="E11" s="2" t="s">
        <v>78</v>
      </c>
      <c r="F11" s="2" t="s">
        <v>44</v>
      </c>
      <c r="G11" s="2" t="s">
        <v>79</v>
      </c>
      <c r="O11" s="2" t="s">
        <v>80</v>
      </c>
      <c r="R11" s="2" t="s">
        <v>81</v>
      </c>
    </row>
    <row r="12" spans="1:19" x14ac:dyDescent="0.2">
      <c r="A12" s="2" t="s">
        <v>404</v>
      </c>
      <c r="B12" s="2">
        <v>384210994</v>
      </c>
      <c r="C12" s="2">
        <v>30</v>
      </c>
      <c r="D12" s="2" t="s">
        <v>30</v>
      </c>
      <c r="E12" s="2" t="s">
        <v>82</v>
      </c>
      <c r="F12" s="2" t="s">
        <v>44</v>
      </c>
      <c r="G12" s="2" t="s">
        <v>83</v>
      </c>
      <c r="H12" s="2" t="s">
        <v>84</v>
      </c>
      <c r="R12" s="2" t="s">
        <v>85</v>
      </c>
    </row>
    <row r="13" spans="1:19" x14ac:dyDescent="0.2">
      <c r="A13" s="2" t="s">
        <v>404</v>
      </c>
      <c r="B13" s="2">
        <v>77110497</v>
      </c>
      <c r="C13" s="2">
        <v>26</v>
      </c>
      <c r="D13" s="2" t="s">
        <v>30</v>
      </c>
      <c r="E13" s="2" t="s">
        <v>86</v>
      </c>
      <c r="G13" s="2" t="s">
        <v>87</v>
      </c>
      <c r="H13" s="2" t="s">
        <v>88</v>
      </c>
      <c r="J13" s="2" t="s">
        <v>89</v>
      </c>
      <c r="K13" s="2" t="s">
        <v>90</v>
      </c>
    </row>
    <row r="14" spans="1:19" x14ac:dyDescent="0.2">
      <c r="A14" s="2" t="s">
        <v>404</v>
      </c>
      <c r="B14" s="2">
        <v>35210409</v>
      </c>
      <c r="C14" s="2">
        <v>29</v>
      </c>
      <c r="D14" s="2" t="s">
        <v>30</v>
      </c>
      <c r="E14" s="2" t="s">
        <v>91</v>
      </c>
      <c r="G14" s="2" t="s">
        <v>92</v>
      </c>
      <c r="H14" s="2" t="s">
        <v>93</v>
      </c>
      <c r="J14" s="2" t="s">
        <v>94</v>
      </c>
      <c r="K14" s="2" t="s">
        <v>95</v>
      </c>
      <c r="P14" s="2" t="s">
        <v>96</v>
      </c>
      <c r="R14" s="2" t="s">
        <v>97</v>
      </c>
    </row>
    <row r="15" spans="1:19" x14ac:dyDescent="0.2">
      <c r="A15" s="2" t="s">
        <v>406</v>
      </c>
      <c r="B15" s="2">
        <v>153910595</v>
      </c>
      <c r="C15" s="2">
        <v>62</v>
      </c>
      <c r="D15" s="2" t="s">
        <v>30</v>
      </c>
      <c r="E15" s="2" t="s">
        <v>98</v>
      </c>
      <c r="G15" s="2" t="s">
        <v>99</v>
      </c>
      <c r="H15" s="2" t="s">
        <v>100</v>
      </c>
      <c r="J15" s="2" t="s">
        <v>101</v>
      </c>
      <c r="K15" s="2" t="s">
        <v>102</v>
      </c>
      <c r="N15" s="2" t="s">
        <v>103</v>
      </c>
      <c r="P15" s="2" t="s">
        <v>104</v>
      </c>
      <c r="R15" s="2" t="s">
        <v>105</v>
      </c>
    </row>
    <row r="16" spans="1:19" x14ac:dyDescent="0.2">
      <c r="A16" s="2" t="s">
        <v>404</v>
      </c>
      <c r="B16" s="2">
        <v>274210173</v>
      </c>
      <c r="C16" s="2">
        <v>77</v>
      </c>
      <c r="D16" s="2" t="s">
        <v>20</v>
      </c>
      <c r="E16" s="2" t="s">
        <v>106</v>
      </c>
      <c r="G16" s="2" t="s">
        <v>92</v>
      </c>
      <c r="H16" s="2" t="s">
        <v>107</v>
      </c>
      <c r="J16" s="2" t="s">
        <v>108</v>
      </c>
      <c r="K16" s="2" t="s">
        <v>109</v>
      </c>
      <c r="R16" s="2" t="s">
        <v>110</v>
      </c>
    </row>
    <row r="17" spans="1:18" x14ac:dyDescent="0.2">
      <c r="A17" s="2" t="s">
        <v>404</v>
      </c>
      <c r="B17" s="2">
        <v>436610288</v>
      </c>
      <c r="C17" s="2">
        <v>67</v>
      </c>
      <c r="D17" s="2" t="s">
        <v>20</v>
      </c>
      <c r="E17" s="2" t="s">
        <v>111</v>
      </c>
      <c r="G17" s="2" t="s">
        <v>92</v>
      </c>
      <c r="H17" s="2" t="s">
        <v>112</v>
      </c>
      <c r="J17" s="2" t="s">
        <v>113</v>
      </c>
      <c r="K17" s="2" t="s">
        <v>114</v>
      </c>
      <c r="N17" s="2" t="s">
        <v>115</v>
      </c>
      <c r="R17" s="2" t="s">
        <v>116</v>
      </c>
    </row>
    <row r="18" spans="1:18" x14ac:dyDescent="0.2">
      <c r="A18" s="2" t="s">
        <v>404</v>
      </c>
      <c r="B18" s="2">
        <v>503810366</v>
      </c>
      <c r="C18" s="2">
        <v>72</v>
      </c>
      <c r="D18" s="2" t="s">
        <v>30</v>
      </c>
      <c r="E18" s="2" t="s">
        <v>117</v>
      </c>
      <c r="F18" s="2" t="s">
        <v>44</v>
      </c>
      <c r="G18" s="2" t="s">
        <v>118</v>
      </c>
      <c r="H18" s="2" t="s">
        <v>119</v>
      </c>
      <c r="O18" s="2" t="s">
        <v>120</v>
      </c>
      <c r="R18" s="2" t="s">
        <v>121</v>
      </c>
    </row>
    <row r="19" spans="1:18" x14ac:dyDescent="0.2">
      <c r="A19" s="2" t="s">
        <v>404</v>
      </c>
      <c r="B19" s="2">
        <v>559910689</v>
      </c>
      <c r="C19" s="2">
        <v>34</v>
      </c>
      <c r="D19" s="2" t="s">
        <v>30</v>
      </c>
      <c r="E19" s="2" t="s">
        <v>122</v>
      </c>
      <c r="F19" s="2" t="s">
        <v>22</v>
      </c>
      <c r="G19" s="2" t="s">
        <v>92</v>
      </c>
      <c r="H19" s="2" t="s">
        <v>123</v>
      </c>
      <c r="K19" s="2" t="s">
        <v>124</v>
      </c>
      <c r="N19" s="2" t="s">
        <v>125</v>
      </c>
      <c r="P19" s="2" t="s">
        <v>126</v>
      </c>
      <c r="R19" s="2" t="s">
        <v>127</v>
      </c>
    </row>
    <row r="20" spans="1:18" x14ac:dyDescent="0.2">
      <c r="A20" s="2" t="s">
        <v>404</v>
      </c>
      <c r="B20" s="2">
        <v>644210241</v>
      </c>
      <c r="C20" s="2">
        <v>66</v>
      </c>
      <c r="D20" s="2" t="s">
        <v>30</v>
      </c>
      <c r="E20" s="2" t="s">
        <v>128</v>
      </c>
      <c r="F20" s="2" t="s">
        <v>44</v>
      </c>
      <c r="G20" s="2" t="s">
        <v>92</v>
      </c>
      <c r="H20" s="2" t="s">
        <v>129</v>
      </c>
      <c r="J20" s="2" t="s">
        <v>130</v>
      </c>
      <c r="K20" s="2" t="s">
        <v>131</v>
      </c>
      <c r="R20" s="2" t="s">
        <v>132</v>
      </c>
    </row>
    <row r="21" spans="1:18" x14ac:dyDescent="0.2">
      <c r="A21" s="2" t="s">
        <v>406</v>
      </c>
      <c r="B21" s="2">
        <v>812210207</v>
      </c>
      <c r="C21" s="2">
        <v>38</v>
      </c>
      <c r="D21" s="2" t="s">
        <v>20</v>
      </c>
      <c r="E21" s="2" t="s">
        <v>133</v>
      </c>
      <c r="F21" s="2" t="s">
        <v>44</v>
      </c>
      <c r="G21" s="2" t="s">
        <v>92</v>
      </c>
      <c r="N21" s="2" t="s">
        <v>134</v>
      </c>
      <c r="R21" s="2" t="s">
        <v>135</v>
      </c>
    </row>
    <row r="22" spans="1:18" x14ac:dyDescent="0.2">
      <c r="A22" s="2" t="s">
        <v>406</v>
      </c>
      <c r="B22" s="2">
        <v>925810409</v>
      </c>
      <c r="C22" s="2">
        <v>31</v>
      </c>
      <c r="D22" s="2" t="s">
        <v>20</v>
      </c>
      <c r="E22" s="2" t="s">
        <v>136</v>
      </c>
      <c r="G22" s="2" t="s">
        <v>137</v>
      </c>
      <c r="H22" s="2" t="s">
        <v>138</v>
      </c>
      <c r="J22" s="2" t="s">
        <v>139</v>
      </c>
      <c r="K22" s="2" t="s">
        <v>140</v>
      </c>
      <c r="N22" s="2" t="s">
        <v>141</v>
      </c>
      <c r="P22" s="2" t="s">
        <v>142</v>
      </c>
      <c r="R22" s="2" t="s">
        <v>143</v>
      </c>
    </row>
    <row r="23" spans="1:18" x14ac:dyDescent="0.2">
      <c r="A23" s="2" t="s">
        <v>406</v>
      </c>
      <c r="B23" s="2">
        <v>1054010302</v>
      </c>
      <c r="C23" s="2">
        <v>33</v>
      </c>
      <c r="D23" s="2" t="s">
        <v>20</v>
      </c>
      <c r="E23" s="2" t="s">
        <v>144</v>
      </c>
      <c r="G23" s="2" t="s">
        <v>145</v>
      </c>
      <c r="H23" s="2" t="s">
        <v>146</v>
      </c>
      <c r="J23" s="2" t="s">
        <v>147</v>
      </c>
      <c r="K23" s="2" t="s">
        <v>148</v>
      </c>
      <c r="N23" s="2" t="s">
        <v>149</v>
      </c>
      <c r="P23" s="2" t="s">
        <v>150</v>
      </c>
      <c r="R23" s="2" t="s">
        <v>151</v>
      </c>
    </row>
    <row r="24" spans="1:18" x14ac:dyDescent="0.2">
      <c r="A24" s="2" t="s">
        <v>406</v>
      </c>
      <c r="B24" s="2">
        <v>1525510677</v>
      </c>
      <c r="C24" s="2">
        <v>39</v>
      </c>
      <c r="D24" s="2" t="s">
        <v>30</v>
      </c>
      <c r="E24" s="2" t="s">
        <v>152</v>
      </c>
      <c r="G24" s="2" t="s">
        <v>145</v>
      </c>
      <c r="H24" s="2" t="s">
        <v>153</v>
      </c>
      <c r="J24" s="2" t="s">
        <v>154</v>
      </c>
      <c r="K24" s="2" t="s">
        <v>155</v>
      </c>
      <c r="N24" s="2" t="s">
        <v>156</v>
      </c>
      <c r="P24" s="2" t="s">
        <v>157</v>
      </c>
      <c r="R24" s="2" t="s">
        <v>158</v>
      </c>
    </row>
    <row r="25" spans="1:18" x14ac:dyDescent="0.2">
      <c r="A25" s="2" t="s">
        <v>404</v>
      </c>
      <c r="B25" s="2">
        <v>1721910803</v>
      </c>
      <c r="C25" s="2">
        <v>34</v>
      </c>
      <c r="D25" s="2" t="s">
        <v>30</v>
      </c>
      <c r="E25" s="2" t="s">
        <v>159</v>
      </c>
      <c r="F25" s="2" t="s">
        <v>22</v>
      </c>
      <c r="G25" s="2" t="s">
        <v>160</v>
      </c>
      <c r="R25" s="2" t="s">
        <v>161</v>
      </c>
    </row>
    <row r="26" spans="1:18" x14ac:dyDescent="0.2">
      <c r="A26" s="2" t="s">
        <v>406</v>
      </c>
      <c r="B26" s="2">
        <v>1985010365</v>
      </c>
      <c r="C26" s="2">
        <v>72</v>
      </c>
      <c r="D26" s="2" t="s">
        <v>30</v>
      </c>
      <c r="E26" s="2" t="s">
        <v>162</v>
      </c>
      <c r="F26" s="2" t="s">
        <v>22</v>
      </c>
      <c r="G26" s="2" t="s">
        <v>92</v>
      </c>
      <c r="K26" s="2" t="s">
        <v>163</v>
      </c>
      <c r="N26" s="2" t="s">
        <v>164</v>
      </c>
      <c r="P26" s="2" t="s">
        <v>165</v>
      </c>
      <c r="R26" s="2" t="s">
        <v>166</v>
      </c>
    </row>
    <row r="27" spans="1:18" x14ac:dyDescent="0.2">
      <c r="A27" s="2" t="s">
        <v>404</v>
      </c>
      <c r="B27" s="2">
        <v>2020510974</v>
      </c>
      <c r="C27" s="2">
        <v>55</v>
      </c>
      <c r="D27" s="2" t="s">
        <v>30</v>
      </c>
      <c r="E27" s="2" t="s">
        <v>167</v>
      </c>
      <c r="F27" s="2" t="s">
        <v>22</v>
      </c>
      <c r="G27" s="2" t="s">
        <v>92</v>
      </c>
      <c r="H27" s="2" t="s">
        <v>168</v>
      </c>
      <c r="J27" s="2" t="s">
        <v>169</v>
      </c>
      <c r="K27" s="2" t="s">
        <v>170</v>
      </c>
      <c r="P27" s="2" t="s">
        <v>171</v>
      </c>
      <c r="R27" s="2" t="s">
        <v>172</v>
      </c>
    </row>
    <row r="28" spans="1:18" x14ac:dyDescent="0.2">
      <c r="A28" s="2" t="s">
        <v>404</v>
      </c>
      <c r="B28" s="2">
        <v>2520610627</v>
      </c>
      <c r="C28" s="2">
        <v>44</v>
      </c>
      <c r="D28" s="2" t="s">
        <v>20</v>
      </c>
      <c r="E28" s="2" t="s">
        <v>159</v>
      </c>
      <c r="F28" s="2" t="s">
        <v>22</v>
      </c>
      <c r="G28" s="2" t="s">
        <v>92</v>
      </c>
      <c r="P28" s="2" t="s">
        <v>173</v>
      </c>
      <c r="R28" s="2" t="s">
        <v>174</v>
      </c>
    </row>
    <row r="29" spans="1:18" x14ac:dyDescent="0.2">
      <c r="A29" s="2" t="s">
        <v>406</v>
      </c>
      <c r="B29" s="2">
        <v>3954810544</v>
      </c>
      <c r="C29" s="2">
        <v>58</v>
      </c>
      <c r="D29" s="2" t="s">
        <v>30</v>
      </c>
      <c r="E29" s="2" t="s">
        <v>175</v>
      </c>
      <c r="G29" s="2" t="s">
        <v>176</v>
      </c>
      <c r="H29" s="2" t="s">
        <v>177</v>
      </c>
      <c r="J29" s="2" t="s">
        <v>178</v>
      </c>
      <c r="K29" s="2" t="s">
        <v>179</v>
      </c>
      <c r="N29" s="2" t="s">
        <v>180</v>
      </c>
      <c r="P29" s="2" t="s">
        <v>181</v>
      </c>
      <c r="R29" s="2" t="s">
        <v>182</v>
      </c>
    </row>
    <row r="30" spans="1:18" x14ac:dyDescent="0.2">
      <c r="A30" s="2" t="s">
        <v>404</v>
      </c>
      <c r="B30" s="2">
        <v>726710461</v>
      </c>
      <c r="C30" s="2">
        <v>47</v>
      </c>
      <c r="D30" s="2" t="s">
        <v>30</v>
      </c>
      <c r="E30" s="2" t="s">
        <v>183</v>
      </c>
      <c r="F30" s="2" t="s">
        <v>22</v>
      </c>
      <c r="G30" s="2" t="s">
        <v>184</v>
      </c>
      <c r="H30" s="2" t="s">
        <v>185</v>
      </c>
      <c r="K30" s="2" t="s">
        <v>186</v>
      </c>
      <c r="O30" s="2" t="s">
        <v>187</v>
      </c>
      <c r="P30" s="2" t="s">
        <v>188</v>
      </c>
      <c r="R30" s="2" t="s">
        <v>189</v>
      </c>
    </row>
    <row r="31" spans="1:18" x14ac:dyDescent="0.2">
      <c r="A31" s="2" t="s">
        <v>405</v>
      </c>
      <c r="B31" s="2">
        <v>833410289</v>
      </c>
      <c r="C31" s="2">
        <v>24</v>
      </c>
      <c r="D31" s="2" t="s">
        <v>20</v>
      </c>
      <c r="E31" s="2" t="s">
        <v>190</v>
      </c>
      <c r="F31" s="2" t="s">
        <v>22</v>
      </c>
      <c r="G31" s="2" t="s">
        <v>191</v>
      </c>
      <c r="O31" s="2" t="s">
        <v>192</v>
      </c>
      <c r="P31" s="2" t="s">
        <v>193</v>
      </c>
      <c r="R31" s="2" t="s">
        <v>194</v>
      </c>
    </row>
    <row r="32" spans="1:18" x14ac:dyDescent="0.2">
      <c r="A32" s="2" t="s">
        <v>404</v>
      </c>
      <c r="B32" s="2">
        <v>971510284</v>
      </c>
      <c r="C32" s="2">
        <v>60</v>
      </c>
      <c r="D32" s="2" t="s">
        <v>30</v>
      </c>
      <c r="E32" s="2" t="s">
        <v>195</v>
      </c>
      <c r="F32" s="2" t="s">
        <v>22</v>
      </c>
      <c r="G32" s="2" t="s">
        <v>191</v>
      </c>
      <c r="O32" s="2" t="s">
        <v>196</v>
      </c>
      <c r="P32" s="2" t="s">
        <v>197</v>
      </c>
      <c r="R32" s="2" t="s">
        <v>198</v>
      </c>
    </row>
    <row r="33" spans="1:18" x14ac:dyDescent="0.2">
      <c r="A33" s="2" t="s">
        <v>404</v>
      </c>
      <c r="B33" s="2">
        <v>1094310233</v>
      </c>
      <c r="C33" s="2">
        <v>4</v>
      </c>
      <c r="D33" s="2" t="s">
        <v>30</v>
      </c>
      <c r="E33" s="2" t="s">
        <v>199</v>
      </c>
      <c r="F33" s="2" t="s">
        <v>22</v>
      </c>
      <c r="G33" s="2" t="s">
        <v>191</v>
      </c>
      <c r="N33" s="2" t="s">
        <v>200</v>
      </c>
      <c r="O33" s="2" t="s">
        <v>196</v>
      </c>
      <c r="P33" s="2" t="s">
        <v>201</v>
      </c>
      <c r="R33" s="2" t="s">
        <v>202</v>
      </c>
    </row>
    <row r="34" spans="1:18" x14ac:dyDescent="0.2">
      <c r="A34" s="2" t="s">
        <v>404</v>
      </c>
      <c r="B34" s="2">
        <v>38410333</v>
      </c>
      <c r="C34" s="2">
        <v>33</v>
      </c>
      <c r="D34" s="2" t="s">
        <v>20</v>
      </c>
      <c r="E34" s="2" t="s">
        <v>203</v>
      </c>
      <c r="F34" s="2" t="s">
        <v>22</v>
      </c>
      <c r="G34" s="2" t="s">
        <v>204</v>
      </c>
      <c r="K34" s="2" t="s">
        <v>205</v>
      </c>
      <c r="O34" s="2" t="s">
        <v>206</v>
      </c>
      <c r="P34" s="2" t="s">
        <v>207</v>
      </c>
      <c r="R34" s="2" t="s">
        <v>208</v>
      </c>
    </row>
    <row r="35" spans="1:18" x14ac:dyDescent="0.2">
      <c r="A35" s="2" t="s">
        <v>404</v>
      </c>
      <c r="B35" s="2">
        <v>3525210465</v>
      </c>
      <c r="C35" s="2">
        <v>56</v>
      </c>
      <c r="D35" s="2" t="s">
        <v>30</v>
      </c>
      <c r="E35" s="2" t="s">
        <v>209</v>
      </c>
      <c r="G35" s="2" t="s">
        <v>210</v>
      </c>
      <c r="J35" s="2" t="s">
        <v>211</v>
      </c>
      <c r="K35" s="2" t="s">
        <v>212</v>
      </c>
      <c r="R35" s="2" t="s">
        <v>213</v>
      </c>
    </row>
    <row r="36" spans="1:18" x14ac:dyDescent="0.2">
      <c r="A36" s="2" t="s">
        <v>404</v>
      </c>
      <c r="B36" s="2">
        <v>2010394</v>
      </c>
      <c r="C36" s="2">
        <v>33</v>
      </c>
      <c r="D36" s="2" t="s">
        <v>30</v>
      </c>
      <c r="E36" s="2" t="s">
        <v>214</v>
      </c>
      <c r="F36" s="2" t="s">
        <v>22</v>
      </c>
      <c r="G36" s="2" t="s">
        <v>215</v>
      </c>
      <c r="K36" s="2" t="s">
        <v>216</v>
      </c>
      <c r="P36" s="2" t="s">
        <v>217</v>
      </c>
      <c r="R36" s="2" t="s">
        <v>218</v>
      </c>
    </row>
    <row r="37" spans="1:18" x14ac:dyDescent="0.2">
      <c r="A37" s="2" t="s">
        <v>406</v>
      </c>
      <c r="B37" s="2">
        <v>62910668</v>
      </c>
      <c r="C37" s="2">
        <v>59</v>
      </c>
      <c r="D37" s="2" t="s">
        <v>30</v>
      </c>
      <c r="E37" s="2" t="s">
        <v>219</v>
      </c>
      <c r="F37" s="2" t="s">
        <v>22</v>
      </c>
      <c r="G37" s="2" t="s">
        <v>220</v>
      </c>
      <c r="H37" s="2" t="s">
        <v>221</v>
      </c>
      <c r="N37" s="2" t="s">
        <v>222</v>
      </c>
      <c r="P37" s="2" t="s">
        <v>223</v>
      </c>
      <c r="R37" s="2" t="s">
        <v>224</v>
      </c>
    </row>
    <row r="38" spans="1:18" x14ac:dyDescent="0.2">
      <c r="A38" s="2" t="s">
        <v>404</v>
      </c>
      <c r="B38" s="2">
        <v>75310568</v>
      </c>
      <c r="C38" s="2">
        <v>54</v>
      </c>
      <c r="D38" s="2" t="s">
        <v>20</v>
      </c>
      <c r="E38" s="2" t="s">
        <v>225</v>
      </c>
      <c r="F38" s="2" t="s">
        <v>44</v>
      </c>
      <c r="G38" s="2" t="s">
        <v>220</v>
      </c>
      <c r="H38" s="2" t="s">
        <v>226</v>
      </c>
      <c r="J38" s="2" t="s">
        <v>227</v>
      </c>
      <c r="K38" s="2" t="s">
        <v>228</v>
      </c>
      <c r="N38" s="2" t="s">
        <v>229</v>
      </c>
      <c r="R38" s="2" t="s">
        <v>230</v>
      </c>
    </row>
    <row r="39" spans="1:18" x14ac:dyDescent="0.2">
      <c r="A39" s="2" t="s">
        <v>404</v>
      </c>
      <c r="B39" s="2">
        <v>120310166</v>
      </c>
      <c r="C39" s="2">
        <v>33</v>
      </c>
      <c r="D39" s="2" t="s">
        <v>20</v>
      </c>
      <c r="E39" s="2" t="s">
        <v>231</v>
      </c>
      <c r="F39" s="2" t="s">
        <v>44</v>
      </c>
      <c r="G39" s="2" t="s">
        <v>220</v>
      </c>
      <c r="H39" s="2" t="s">
        <v>232</v>
      </c>
      <c r="J39" s="2" t="s">
        <v>233</v>
      </c>
      <c r="K39" s="2" t="s">
        <v>234</v>
      </c>
      <c r="O39" s="2" t="s">
        <v>235</v>
      </c>
      <c r="P39" s="2" t="s">
        <v>236</v>
      </c>
      <c r="R39" s="2" t="s">
        <v>237</v>
      </c>
    </row>
    <row r="40" spans="1:18" x14ac:dyDescent="0.2">
      <c r="A40" s="2" t="s">
        <v>406</v>
      </c>
      <c r="B40" s="2">
        <v>319810053</v>
      </c>
      <c r="C40" s="2">
        <v>13</v>
      </c>
      <c r="D40" s="2" t="s">
        <v>30</v>
      </c>
      <c r="E40" s="2" t="s">
        <v>238</v>
      </c>
      <c r="F40" s="2" t="s">
        <v>22</v>
      </c>
      <c r="G40" s="2" t="s">
        <v>215</v>
      </c>
      <c r="N40" s="2" t="s">
        <v>239</v>
      </c>
      <c r="P40" s="2" t="s">
        <v>240</v>
      </c>
      <c r="R40" s="2" t="s">
        <v>241</v>
      </c>
    </row>
    <row r="41" spans="1:18" x14ac:dyDescent="0.2">
      <c r="A41" s="2" t="s">
        <v>404</v>
      </c>
      <c r="B41" s="2">
        <v>341210634</v>
      </c>
      <c r="C41" s="2">
        <v>17</v>
      </c>
      <c r="D41" s="2" t="s">
        <v>30</v>
      </c>
      <c r="E41" s="2" t="s">
        <v>242</v>
      </c>
      <c r="F41" s="2" t="s">
        <v>44</v>
      </c>
      <c r="G41" s="2" t="s">
        <v>220</v>
      </c>
      <c r="K41" s="2" t="s">
        <v>243</v>
      </c>
      <c r="P41" s="2" t="s">
        <v>244</v>
      </c>
      <c r="R41" s="2" t="s">
        <v>245</v>
      </c>
    </row>
    <row r="42" spans="1:18" x14ac:dyDescent="0.2">
      <c r="A42" s="2" t="s">
        <v>404</v>
      </c>
      <c r="B42" s="2">
        <v>362110891</v>
      </c>
      <c r="C42" s="2">
        <v>40</v>
      </c>
      <c r="D42" s="2" t="s">
        <v>30</v>
      </c>
      <c r="E42" s="2" t="s">
        <v>246</v>
      </c>
      <c r="G42" s="2" t="s">
        <v>220</v>
      </c>
      <c r="H42" s="2" t="s">
        <v>247</v>
      </c>
      <c r="J42" s="2" t="s">
        <v>248</v>
      </c>
      <c r="K42" s="2" t="s">
        <v>249</v>
      </c>
      <c r="P42" s="2" t="s">
        <v>250</v>
      </c>
      <c r="R42" s="2" t="s">
        <v>251</v>
      </c>
    </row>
    <row r="43" spans="1:18" x14ac:dyDescent="0.2">
      <c r="A43" s="2" t="s">
        <v>404</v>
      </c>
      <c r="B43" s="2">
        <v>370010311</v>
      </c>
      <c r="C43" s="2">
        <v>79</v>
      </c>
      <c r="D43" s="2" t="s">
        <v>30</v>
      </c>
      <c r="E43" s="2" t="s">
        <v>252</v>
      </c>
      <c r="F43" s="2" t="s">
        <v>44</v>
      </c>
      <c r="G43" s="2" t="s">
        <v>220</v>
      </c>
      <c r="K43" s="2" t="s">
        <v>253</v>
      </c>
    </row>
    <row r="44" spans="1:18" x14ac:dyDescent="0.2">
      <c r="A44" s="2" t="s">
        <v>404</v>
      </c>
      <c r="B44" s="2">
        <v>461910966</v>
      </c>
      <c r="C44" s="2">
        <v>31</v>
      </c>
      <c r="D44" s="2" t="s">
        <v>30</v>
      </c>
      <c r="E44" s="2" t="s">
        <v>254</v>
      </c>
      <c r="F44" s="2" t="s">
        <v>44</v>
      </c>
      <c r="G44" s="2" t="s">
        <v>220</v>
      </c>
      <c r="R44" s="2" t="s">
        <v>255</v>
      </c>
    </row>
    <row r="45" spans="1:18" x14ac:dyDescent="0.2">
      <c r="A45" s="2" t="s">
        <v>405</v>
      </c>
      <c r="B45" s="2">
        <v>515410701</v>
      </c>
      <c r="C45" s="2">
        <v>58</v>
      </c>
      <c r="D45" s="2" t="s">
        <v>20</v>
      </c>
      <c r="E45" s="2" t="s">
        <v>256</v>
      </c>
      <c r="F45" s="2" t="s">
        <v>44</v>
      </c>
      <c r="G45" s="2" t="s">
        <v>257</v>
      </c>
      <c r="K45" s="2" t="s">
        <v>258</v>
      </c>
      <c r="O45" s="2" t="s">
        <v>259</v>
      </c>
      <c r="P45" s="2" t="s">
        <v>260</v>
      </c>
      <c r="R45" s="2" t="s">
        <v>261</v>
      </c>
    </row>
    <row r="46" spans="1:18" x14ac:dyDescent="0.2">
      <c r="A46" s="2" t="s">
        <v>404</v>
      </c>
      <c r="B46" s="2">
        <v>603810956</v>
      </c>
      <c r="C46" s="2">
        <v>18</v>
      </c>
      <c r="D46" s="2" t="s">
        <v>20</v>
      </c>
      <c r="E46" s="2" t="s">
        <v>262</v>
      </c>
      <c r="F46" s="2" t="s">
        <v>44</v>
      </c>
      <c r="G46" s="2" t="s">
        <v>220</v>
      </c>
      <c r="K46" s="2" t="s">
        <v>263</v>
      </c>
    </row>
    <row r="47" spans="1:18" x14ac:dyDescent="0.2">
      <c r="A47" s="2" t="s">
        <v>406</v>
      </c>
      <c r="B47" s="2">
        <v>689210365</v>
      </c>
      <c r="C47" s="2">
        <v>71</v>
      </c>
      <c r="D47" s="2" t="s">
        <v>30</v>
      </c>
      <c r="E47" s="2" t="s">
        <v>264</v>
      </c>
      <c r="F47" s="2" t="s">
        <v>22</v>
      </c>
      <c r="G47" s="2" t="s">
        <v>215</v>
      </c>
      <c r="H47" s="2" t="s">
        <v>265</v>
      </c>
      <c r="K47" s="2" t="s">
        <v>266</v>
      </c>
      <c r="N47" s="2" t="s">
        <v>267</v>
      </c>
      <c r="P47" s="2" t="s">
        <v>268</v>
      </c>
      <c r="R47" s="2" t="s">
        <v>269</v>
      </c>
    </row>
    <row r="48" spans="1:18" x14ac:dyDescent="0.2">
      <c r="A48" s="2" t="s">
        <v>406</v>
      </c>
      <c r="B48" s="2">
        <v>726310128</v>
      </c>
      <c r="C48" s="2">
        <v>17</v>
      </c>
      <c r="D48" s="2" t="s">
        <v>20</v>
      </c>
      <c r="E48" s="2" t="s">
        <v>270</v>
      </c>
      <c r="F48" s="2" t="s">
        <v>44</v>
      </c>
      <c r="G48" s="2" t="s">
        <v>220</v>
      </c>
      <c r="N48" s="2" t="s">
        <v>271</v>
      </c>
      <c r="R48" s="2" t="s">
        <v>272</v>
      </c>
    </row>
    <row r="49" spans="1:18" x14ac:dyDescent="0.2">
      <c r="A49" s="2" t="s">
        <v>406</v>
      </c>
      <c r="B49" s="2">
        <v>740710960</v>
      </c>
      <c r="C49" s="2">
        <v>12</v>
      </c>
      <c r="D49" s="2" t="s">
        <v>20</v>
      </c>
      <c r="E49" s="2" t="s">
        <v>273</v>
      </c>
      <c r="F49" s="2" t="s">
        <v>44</v>
      </c>
      <c r="G49" s="2" t="s">
        <v>220</v>
      </c>
      <c r="N49" s="2" t="s">
        <v>274</v>
      </c>
      <c r="P49" s="2" t="s">
        <v>275</v>
      </c>
      <c r="R49" s="2" t="s">
        <v>276</v>
      </c>
    </row>
    <row r="50" spans="1:18" x14ac:dyDescent="0.2">
      <c r="A50" s="2" t="s">
        <v>406</v>
      </c>
      <c r="B50" s="2">
        <v>741610129</v>
      </c>
      <c r="C50" s="2">
        <v>24</v>
      </c>
      <c r="D50" s="2" t="s">
        <v>30</v>
      </c>
      <c r="E50" s="2" t="s">
        <v>277</v>
      </c>
      <c r="F50" s="2" t="s">
        <v>44</v>
      </c>
      <c r="G50" s="2" t="s">
        <v>220</v>
      </c>
      <c r="H50" s="2" t="s">
        <v>278</v>
      </c>
      <c r="K50" s="2" t="s">
        <v>279</v>
      </c>
      <c r="N50" s="2" t="s">
        <v>280</v>
      </c>
      <c r="P50" s="2" t="s">
        <v>281</v>
      </c>
      <c r="R50" s="2" t="s">
        <v>282</v>
      </c>
    </row>
    <row r="51" spans="1:18" x14ac:dyDescent="0.2">
      <c r="A51" s="2" t="s">
        <v>405</v>
      </c>
      <c r="B51" s="2">
        <v>795410971</v>
      </c>
      <c r="C51" s="2">
        <v>2</v>
      </c>
      <c r="D51" s="2" t="s">
        <v>20</v>
      </c>
      <c r="E51" s="2" t="s">
        <v>283</v>
      </c>
      <c r="F51" s="2" t="s">
        <v>44</v>
      </c>
      <c r="G51" s="2" t="s">
        <v>220</v>
      </c>
      <c r="N51" s="2" t="s">
        <v>284</v>
      </c>
    </row>
    <row r="52" spans="1:18" x14ac:dyDescent="0.2">
      <c r="A52" s="2" t="s">
        <v>404</v>
      </c>
      <c r="B52" s="2">
        <v>818210372</v>
      </c>
      <c r="C52" s="2">
        <v>57</v>
      </c>
      <c r="D52" s="2" t="s">
        <v>30</v>
      </c>
      <c r="E52" s="2" t="s">
        <v>285</v>
      </c>
      <c r="F52" s="2" t="s">
        <v>44</v>
      </c>
      <c r="G52" s="2" t="s">
        <v>220</v>
      </c>
      <c r="K52" s="2" t="s">
        <v>286</v>
      </c>
      <c r="N52" s="2" t="s">
        <v>287</v>
      </c>
      <c r="R52" s="2" t="s">
        <v>288</v>
      </c>
    </row>
    <row r="53" spans="1:18" x14ac:dyDescent="0.2">
      <c r="A53" s="2" t="s">
        <v>404</v>
      </c>
      <c r="B53" s="2">
        <v>826210737</v>
      </c>
      <c r="C53" s="2">
        <v>3</v>
      </c>
      <c r="D53" s="2" t="s">
        <v>20</v>
      </c>
      <c r="E53" s="2" t="s">
        <v>289</v>
      </c>
      <c r="F53" s="2" t="s">
        <v>44</v>
      </c>
      <c r="G53" s="2" t="s">
        <v>220</v>
      </c>
      <c r="R53" s="2" t="s">
        <v>290</v>
      </c>
    </row>
    <row r="54" spans="1:18" x14ac:dyDescent="0.2">
      <c r="A54" s="2" t="s">
        <v>404</v>
      </c>
      <c r="B54" s="2">
        <v>870510178</v>
      </c>
      <c r="C54" s="2">
        <v>60</v>
      </c>
      <c r="D54" s="2" t="s">
        <v>30</v>
      </c>
      <c r="E54" s="2" t="s">
        <v>291</v>
      </c>
      <c r="F54" s="2" t="s">
        <v>22</v>
      </c>
      <c r="G54" s="2" t="s">
        <v>220</v>
      </c>
      <c r="O54" s="2" t="s">
        <v>292</v>
      </c>
      <c r="P54" s="2" t="s">
        <v>293</v>
      </c>
      <c r="R54" s="2" t="s">
        <v>294</v>
      </c>
    </row>
    <row r="55" spans="1:18" x14ac:dyDescent="0.2">
      <c r="A55" s="2" t="s">
        <v>406</v>
      </c>
      <c r="B55" s="2">
        <v>888710791</v>
      </c>
      <c r="C55" s="2">
        <v>12</v>
      </c>
      <c r="D55" s="2" t="s">
        <v>20</v>
      </c>
      <c r="E55" s="2" t="s">
        <v>295</v>
      </c>
      <c r="F55" s="2" t="s">
        <v>22</v>
      </c>
      <c r="G55" s="2" t="s">
        <v>220</v>
      </c>
      <c r="N55" s="2" t="s">
        <v>296</v>
      </c>
      <c r="R55" s="2" t="s">
        <v>297</v>
      </c>
    </row>
    <row r="56" spans="1:18" x14ac:dyDescent="0.2">
      <c r="A56" s="2" t="s">
        <v>405</v>
      </c>
      <c r="B56" s="2">
        <v>932610840</v>
      </c>
      <c r="C56" s="2">
        <v>13</v>
      </c>
      <c r="D56" s="2" t="s">
        <v>20</v>
      </c>
      <c r="E56" s="2" t="s">
        <v>298</v>
      </c>
      <c r="F56" s="2" t="s">
        <v>44</v>
      </c>
      <c r="G56" s="2" t="s">
        <v>220</v>
      </c>
      <c r="H56" s="2" t="s">
        <v>299</v>
      </c>
      <c r="N56" s="2" t="s">
        <v>300</v>
      </c>
      <c r="O56" s="2" t="s">
        <v>299</v>
      </c>
      <c r="R56" s="2" t="s">
        <v>301</v>
      </c>
    </row>
    <row r="57" spans="1:18" x14ac:dyDescent="0.2">
      <c r="A57" s="2" t="s">
        <v>406</v>
      </c>
      <c r="B57" s="2">
        <v>954410764</v>
      </c>
      <c r="C57" s="2">
        <v>19</v>
      </c>
      <c r="D57" s="2" t="s">
        <v>20</v>
      </c>
      <c r="E57" s="2" t="s">
        <v>302</v>
      </c>
      <c r="F57" s="2" t="s">
        <v>22</v>
      </c>
      <c r="G57" s="2" t="s">
        <v>220</v>
      </c>
      <c r="N57" s="2" t="s">
        <v>303</v>
      </c>
      <c r="R57" s="2" t="s">
        <v>304</v>
      </c>
    </row>
    <row r="58" spans="1:18" x14ac:dyDescent="0.2">
      <c r="A58" s="2" t="s">
        <v>404</v>
      </c>
      <c r="B58" s="2">
        <v>959010761</v>
      </c>
      <c r="C58" s="2">
        <v>9</v>
      </c>
      <c r="D58" s="2" t="s">
        <v>20</v>
      </c>
      <c r="E58" s="2" t="s">
        <v>305</v>
      </c>
      <c r="F58" s="2" t="s">
        <v>44</v>
      </c>
      <c r="G58" s="2" t="s">
        <v>220</v>
      </c>
      <c r="H58" s="2" t="s">
        <v>306</v>
      </c>
      <c r="P58" s="2" t="s">
        <v>307</v>
      </c>
      <c r="R58" s="2" t="s">
        <v>308</v>
      </c>
    </row>
    <row r="59" spans="1:18" x14ac:dyDescent="0.2">
      <c r="A59" s="2" t="s">
        <v>404</v>
      </c>
      <c r="B59" s="2">
        <v>1084310679</v>
      </c>
      <c r="C59" s="2">
        <v>14</v>
      </c>
      <c r="D59" s="2" t="s">
        <v>30</v>
      </c>
      <c r="E59" s="2" t="s">
        <v>309</v>
      </c>
      <c r="F59" s="2" t="s">
        <v>44</v>
      </c>
      <c r="G59" s="2" t="s">
        <v>220</v>
      </c>
      <c r="O59" s="2" t="s">
        <v>310</v>
      </c>
      <c r="R59" s="2" t="s">
        <v>311</v>
      </c>
    </row>
    <row r="60" spans="1:18" x14ac:dyDescent="0.2">
      <c r="A60" s="2" t="s">
        <v>404</v>
      </c>
      <c r="B60" s="2">
        <v>1084510775</v>
      </c>
      <c r="C60" s="2">
        <v>14</v>
      </c>
      <c r="D60" s="2" t="s">
        <v>20</v>
      </c>
      <c r="E60" s="2" t="s">
        <v>312</v>
      </c>
      <c r="F60" s="2" t="s">
        <v>44</v>
      </c>
      <c r="G60" s="2" t="s">
        <v>220</v>
      </c>
      <c r="H60" s="2" t="s">
        <v>313</v>
      </c>
      <c r="K60" s="2" t="s">
        <v>314</v>
      </c>
      <c r="N60" s="2" t="s">
        <v>315</v>
      </c>
      <c r="P60" s="2" t="s">
        <v>316</v>
      </c>
      <c r="R60" s="2" t="s">
        <v>317</v>
      </c>
    </row>
    <row r="61" spans="1:18" x14ac:dyDescent="0.2">
      <c r="A61" s="2" t="s">
        <v>406</v>
      </c>
      <c r="B61" s="2">
        <v>1086910999</v>
      </c>
      <c r="C61" s="2">
        <v>27</v>
      </c>
      <c r="D61" s="2" t="s">
        <v>30</v>
      </c>
      <c r="E61" s="2" t="s">
        <v>318</v>
      </c>
      <c r="F61" s="2" t="s">
        <v>44</v>
      </c>
      <c r="G61" s="2" t="s">
        <v>220</v>
      </c>
      <c r="N61" s="2" t="s">
        <v>319</v>
      </c>
      <c r="R61" s="2" t="s">
        <v>320</v>
      </c>
    </row>
    <row r="62" spans="1:18" x14ac:dyDescent="0.2">
      <c r="A62" s="2" t="s">
        <v>406</v>
      </c>
      <c r="B62" s="2">
        <v>1377210629</v>
      </c>
      <c r="C62" s="2">
        <v>50</v>
      </c>
      <c r="D62" s="2" t="s">
        <v>20</v>
      </c>
      <c r="E62" s="2" t="s">
        <v>321</v>
      </c>
      <c r="F62" s="2" t="s">
        <v>44</v>
      </c>
      <c r="G62" s="2" t="s">
        <v>220</v>
      </c>
      <c r="H62" s="2" t="s">
        <v>322</v>
      </c>
      <c r="N62" s="2" t="s">
        <v>323</v>
      </c>
      <c r="R62" s="2" t="s">
        <v>324</v>
      </c>
    </row>
    <row r="63" spans="1:18" x14ac:dyDescent="0.2">
      <c r="A63" s="2" t="s">
        <v>406</v>
      </c>
      <c r="B63" s="2">
        <v>1559910397</v>
      </c>
      <c r="C63" s="2">
        <v>13</v>
      </c>
      <c r="D63" s="2" t="s">
        <v>30</v>
      </c>
      <c r="E63" s="2" t="s">
        <v>325</v>
      </c>
      <c r="F63" s="2" t="s">
        <v>22</v>
      </c>
      <c r="G63" s="2" t="s">
        <v>220</v>
      </c>
      <c r="K63" s="2" t="s">
        <v>326</v>
      </c>
      <c r="N63" s="2" t="s">
        <v>327</v>
      </c>
      <c r="P63" s="2" t="s">
        <v>328</v>
      </c>
      <c r="R63" s="2" t="s">
        <v>329</v>
      </c>
    </row>
    <row r="64" spans="1:18" x14ac:dyDescent="0.2">
      <c r="A64" s="2" t="s">
        <v>406</v>
      </c>
      <c r="B64" s="2">
        <v>1602410226</v>
      </c>
      <c r="C64" s="2">
        <v>27</v>
      </c>
      <c r="D64" s="2" t="s">
        <v>20</v>
      </c>
      <c r="E64" s="2" t="s">
        <v>330</v>
      </c>
      <c r="F64" s="2" t="s">
        <v>44</v>
      </c>
      <c r="G64" s="2" t="s">
        <v>220</v>
      </c>
      <c r="K64" s="2" t="s">
        <v>331</v>
      </c>
      <c r="N64" s="2" t="s">
        <v>332</v>
      </c>
      <c r="R64" s="2" t="s">
        <v>333</v>
      </c>
    </row>
    <row r="65" spans="1:18" x14ac:dyDescent="0.2">
      <c r="A65" s="2" t="s">
        <v>404</v>
      </c>
      <c r="B65" s="2">
        <v>1620610573</v>
      </c>
      <c r="C65" s="2">
        <v>63</v>
      </c>
      <c r="D65" s="2" t="s">
        <v>20</v>
      </c>
      <c r="E65" s="2" t="s">
        <v>334</v>
      </c>
      <c r="F65" s="2" t="s">
        <v>44</v>
      </c>
      <c r="G65" s="2" t="s">
        <v>220</v>
      </c>
      <c r="H65" s="2" t="s">
        <v>335</v>
      </c>
      <c r="K65" s="2" t="s">
        <v>336</v>
      </c>
      <c r="R65" s="2" t="s">
        <v>337</v>
      </c>
    </row>
    <row r="66" spans="1:18" x14ac:dyDescent="0.2">
      <c r="A66" s="2" t="s">
        <v>406</v>
      </c>
      <c r="B66" s="2">
        <v>1675410922</v>
      </c>
      <c r="C66" s="2">
        <v>31</v>
      </c>
      <c r="D66" s="2" t="s">
        <v>30</v>
      </c>
      <c r="E66" s="2" t="s">
        <v>338</v>
      </c>
      <c r="F66" s="2" t="s">
        <v>44</v>
      </c>
      <c r="G66" s="2" t="s">
        <v>220</v>
      </c>
      <c r="N66" s="2" t="s">
        <v>339</v>
      </c>
      <c r="R66" s="2" t="s">
        <v>340</v>
      </c>
    </row>
    <row r="67" spans="1:18" x14ac:dyDescent="0.2">
      <c r="A67" s="2" t="s">
        <v>404</v>
      </c>
      <c r="B67" s="2">
        <v>1759410412</v>
      </c>
      <c r="C67" s="2">
        <v>68</v>
      </c>
      <c r="D67" s="2" t="s">
        <v>20</v>
      </c>
      <c r="E67" s="2" t="s">
        <v>341</v>
      </c>
      <c r="F67" s="2" t="s">
        <v>44</v>
      </c>
      <c r="G67" s="2" t="s">
        <v>220</v>
      </c>
      <c r="H67" s="2" t="s">
        <v>342</v>
      </c>
      <c r="O67" s="2" t="s">
        <v>342</v>
      </c>
      <c r="P67" s="2" t="s">
        <v>343</v>
      </c>
      <c r="R67" s="2" t="s">
        <v>344</v>
      </c>
    </row>
    <row r="68" spans="1:18" x14ac:dyDescent="0.2">
      <c r="A68" s="2" t="s">
        <v>404</v>
      </c>
      <c r="B68" s="2">
        <v>1833510766</v>
      </c>
      <c r="C68" s="2">
        <v>4</v>
      </c>
      <c r="D68" s="2" t="s">
        <v>20</v>
      </c>
      <c r="E68" s="2" t="s">
        <v>345</v>
      </c>
      <c r="F68" s="2" t="s">
        <v>44</v>
      </c>
      <c r="G68" s="2" t="s">
        <v>220</v>
      </c>
      <c r="N68" s="2" t="s">
        <v>346</v>
      </c>
      <c r="P68" s="2" t="s">
        <v>347</v>
      </c>
      <c r="R68" s="2" t="s">
        <v>348</v>
      </c>
    </row>
    <row r="69" spans="1:18" x14ac:dyDescent="0.2">
      <c r="A69" s="2" t="s">
        <v>406</v>
      </c>
      <c r="B69" s="2">
        <v>2079410115</v>
      </c>
      <c r="C69" s="2">
        <v>48</v>
      </c>
      <c r="D69" s="2" t="s">
        <v>20</v>
      </c>
      <c r="E69" s="2" t="s">
        <v>349</v>
      </c>
      <c r="F69" s="2" t="s">
        <v>22</v>
      </c>
      <c r="G69" s="2" t="s">
        <v>215</v>
      </c>
      <c r="N69" s="2" t="s">
        <v>350</v>
      </c>
      <c r="P69" s="2" t="s">
        <v>351</v>
      </c>
      <c r="R69" s="2" t="s">
        <v>352</v>
      </c>
    </row>
    <row r="70" spans="1:18" x14ac:dyDescent="0.2">
      <c r="A70" s="2" t="s">
        <v>404</v>
      </c>
      <c r="B70" s="2">
        <v>2134710591</v>
      </c>
      <c r="C70" s="2">
        <v>41</v>
      </c>
      <c r="D70" s="2" t="s">
        <v>20</v>
      </c>
      <c r="E70" s="2" t="s">
        <v>353</v>
      </c>
      <c r="F70" s="2" t="s">
        <v>44</v>
      </c>
      <c r="G70" s="2" t="s">
        <v>220</v>
      </c>
      <c r="H70" s="2" t="s">
        <v>354</v>
      </c>
      <c r="R70" s="2" t="s">
        <v>355</v>
      </c>
    </row>
    <row r="71" spans="1:18" x14ac:dyDescent="0.2">
      <c r="A71" s="2" t="s">
        <v>406</v>
      </c>
      <c r="B71" s="2">
        <v>2335110194</v>
      </c>
      <c r="C71" s="2">
        <v>56</v>
      </c>
      <c r="D71" s="2" t="s">
        <v>30</v>
      </c>
      <c r="E71" s="2" t="s">
        <v>356</v>
      </c>
      <c r="F71" s="2" t="s">
        <v>22</v>
      </c>
      <c r="G71" s="2" t="s">
        <v>220</v>
      </c>
      <c r="H71" s="2" t="s">
        <v>357</v>
      </c>
      <c r="J71" s="2" t="s">
        <v>358</v>
      </c>
      <c r="K71" s="2" t="s">
        <v>359</v>
      </c>
      <c r="N71" s="2" t="s">
        <v>360</v>
      </c>
      <c r="P71" s="2" t="s">
        <v>361</v>
      </c>
      <c r="R71" s="2" t="s">
        <v>362</v>
      </c>
    </row>
    <row r="72" spans="1:18" x14ac:dyDescent="0.2">
      <c r="A72" s="2" t="s">
        <v>406</v>
      </c>
      <c r="B72" s="2">
        <v>2482010040</v>
      </c>
      <c r="C72" s="2">
        <v>39</v>
      </c>
      <c r="D72" s="2" t="s">
        <v>30</v>
      </c>
      <c r="E72" s="2" t="s">
        <v>363</v>
      </c>
      <c r="F72" s="2" t="s">
        <v>44</v>
      </c>
      <c r="G72" s="2" t="s">
        <v>220</v>
      </c>
      <c r="H72" s="2" t="s">
        <v>364</v>
      </c>
      <c r="K72" s="2" t="s">
        <v>365</v>
      </c>
      <c r="N72" s="2" t="s">
        <v>366</v>
      </c>
      <c r="O72" s="2" t="s">
        <v>367</v>
      </c>
      <c r="R72" s="2" t="s">
        <v>368</v>
      </c>
    </row>
    <row r="73" spans="1:18" x14ac:dyDescent="0.2">
      <c r="A73" s="2" t="s">
        <v>404</v>
      </c>
      <c r="B73" s="2">
        <v>2489610789</v>
      </c>
      <c r="C73" s="2">
        <v>21</v>
      </c>
      <c r="D73" s="2" t="s">
        <v>20</v>
      </c>
      <c r="E73" s="2" t="s">
        <v>369</v>
      </c>
      <c r="F73" s="2" t="s">
        <v>22</v>
      </c>
      <c r="G73" s="2" t="s">
        <v>220</v>
      </c>
      <c r="P73" s="2" t="s">
        <v>370</v>
      </c>
      <c r="R73" s="2" t="s">
        <v>371</v>
      </c>
    </row>
    <row r="74" spans="1:18" x14ac:dyDescent="0.2">
      <c r="A74" s="2" t="s">
        <v>404</v>
      </c>
      <c r="B74" s="2">
        <v>2615910492</v>
      </c>
      <c r="C74" s="2">
        <v>29</v>
      </c>
      <c r="D74" s="2" t="s">
        <v>30</v>
      </c>
      <c r="E74" s="2" t="s">
        <v>372</v>
      </c>
      <c r="F74" s="2" t="s">
        <v>44</v>
      </c>
      <c r="G74" s="2" t="s">
        <v>220</v>
      </c>
      <c r="O74" s="2" t="s">
        <v>373</v>
      </c>
      <c r="P74" s="2" t="s">
        <v>374</v>
      </c>
      <c r="R74" s="2" t="s">
        <v>375</v>
      </c>
    </row>
    <row r="75" spans="1:18" x14ac:dyDescent="0.2">
      <c r="A75" s="2" t="s">
        <v>404</v>
      </c>
      <c r="B75" s="2">
        <v>2723810058</v>
      </c>
      <c r="C75" s="2">
        <v>72</v>
      </c>
      <c r="D75" s="2" t="s">
        <v>30</v>
      </c>
      <c r="E75" s="2" t="s">
        <v>376</v>
      </c>
      <c r="F75" s="2" t="s">
        <v>44</v>
      </c>
      <c r="G75" s="2" t="s">
        <v>220</v>
      </c>
      <c r="H75" s="2" t="s">
        <v>377</v>
      </c>
      <c r="J75" s="2" t="s">
        <v>378</v>
      </c>
      <c r="K75" s="2" t="s">
        <v>379</v>
      </c>
      <c r="R75" s="2" t="s">
        <v>380</v>
      </c>
    </row>
    <row r="76" spans="1:18" x14ac:dyDescent="0.2">
      <c r="A76" s="2" t="s">
        <v>406</v>
      </c>
      <c r="B76" s="2">
        <v>2850010979</v>
      </c>
      <c r="C76" s="2">
        <v>2</v>
      </c>
      <c r="D76" s="2" t="s">
        <v>30</v>
      </c>
      <c r="E76" s="2" t="s">
        <v>381</v>
      </c>
      <c r="F76" s="2" t="s">
        <v>44</v>
      </c>
      <c r="G76" s="2" t="s">
        <v>220</v>
      </c>
      <c r="N76" s="2" t="s">
        <v>382</v>
      </c>
      <c r="R76" s="2" t="s">
        <v>383</v>
      </c>
    </row>
    <row r="77" spans="1:18" x14ac:dyDescent="0.2">
      <c r="A77" s="2" t="s">
        <v>404</v>
      </c>
      <c r="B77" s="2">
        <v>2946010373</v>
      </c>
      <c r="C77" s="2">
        <v>31</v>
      </c>
      <c r="D77" s="2" t="s">
        <v>30</v>
      </c>
      <c r="E77" s="2" t="s">
        <v>384</v>
      </c>
      <c r="F77" s="2" t="s">
        <v>22</v>
      </c>
      <c r="G77" s="2" t="s">
        <v>220</v>
      </c>
      <c r="K77" s="2" t="s">
        <v>385</v>
      </c>
      <c r="P77" s="2" t="s">
        <v>386</v>
      </c>
      <c r="R77" s="2" t="s">
        <v>387</v>
      </c>
    </row>
    <row r="78" spans="1:18" x14ac:dyDescent="0.2">
      <c r="A78" s="2" t="s">
        <v>404</v>
      </c>
      <c r="B78" s="2">
        <v>3181110734</v>
      </c>
      <c r="C78" s="2">
        <v>21</v>
      </c>
      <c r="D78" s="2" t="s">
        <v>30</v>
      </c>
      <c r="E78" s="2" t="s">
        <v>388</v>
      </c>
      <c r="F78" s="2" t="s">
        <v>44</v>
      </c>
      <c r="G78" s="2" t="s">
        <v>220</v>
      </c>
      <c r="R78" s="2" t="s">
        <v>389</v>
      </c>
    </row>
    <row r="79" spans="1:18" x14ac:dyDescent="0.2">
      <c r="A79" s="2" t="s">
        <v>404</v>
      </c>
      <c r="B79" s="2">
        <v>3212210166</v>
      </c>
      <c r="C79" s="2">
        <v>39</v>
      </c>
      <c r="D79" s="2" t="s">
        <v>30</v>
      </c>
      <c r="E79" s="2" t="s">
        <v>390</v>
      </c>
      <c r="F79" s="2" t="s">
        <v>44</v>
      </c>
      <c r="G79" s="2" t="s">
        <v>220</v>
      </c>
      <c r="P79" s="2" t="s">
        <v>391</v>
      </c>
      <c r="R79" s="2" t="s">
        <v>392</v>
      </c>
    </row>
    <row r="80" spans="1:18" x14ac:dyDescent="0.2">
      <c r="A80" s="2" t="s">
        <v>406</v>
      </c>
      <c r="B80" s="2">
        <v>3266510164</v>
      </c>
      <c r="C80" s="2">
        <v>60</v>
      </c>
      <c r="D80" s="2" t="s">
        <v>30</v>
      </c>
      <c r="E80" s="2" t="s">
        <v>393</v>
      </c>
      <c r="F80" s="2" t="s">
        <v>44</v>
      </c>
      <c r="G80" s="2" t="s">
        <v>220</v>
      </c>
      <c r="H80" s="2" t="s">
        <v>394</v>
      </c>
      <c r="K80" s="2" t="s">
        <v>395</v>
      </c>
      <c r="N80" s="2" t="s">
        <v>396</v>
      </c>
      <c r="O80" s="2" t="s">
        <v>394</v>
      </c>
      <c r="P80" s="2" t="s">
        <v>397</v>
      </c>
      <c r="R80" s="2" t="s">
        <v>398</v>
      </c>
    </row>
    <row r="81" spans="1:18" x14ac:dyDescent="0.2">
      <c r="A81" s="2" t="s">
        <v>404</v>
      </c>
      <c r="B81" s="2">
        <v>3354710424</v>
      </c>
      <c r="C81" s="2">
        <v>24</v>
      </c>
      <c r="D81" s="2" t="s">
        <v>30</v>
      </c>
      <c r="E81" s="2" t="s">
        <v>399</v>
      </c>
      <c r="F81" s="2" t="s">
        <v>22</v>
      </c>
      <c r="G81" s="2" t="s">
        <v>220</v>
      </c>
      <c r="P81" s="2" t="s">
        <v>400</v>
      </c>
      <c r="R81" s="2" t="s">
        <v>401</v>
      </c>
    </row>
    <row r="82" spans="1:18" x14ac:dyDescent="0.2">
      <c r="A82" s="2" t="s">
        <v>404</v>
      </c>
      <c r="B82" s="2">
        <v>9461110544</v>
      </c>
      <c r="C82" s="2">
        <v>3</v>
      </c>
      <c r="D82" s="2" t="s">
        <v>20</v>
      </c>
      <c r="E82" s="2" t="s">
        <v>402</v>
      </c>
      <c r="F82" s="2" t="s">
        <v>44</v>
      </c>
      <c r="G82" s="2" t="s">
        <v>220</v>
      </c>
      <c r="R82" s="2" t="s">
        <v>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D02C-D87B-0A4B-910D-AA705A060F05}">
  <dimension ref="A3:B7"/>
  <sheetViews>
    <sheetView workbookViewId="0">
      <selection activeCell="E25" sqref="E25"/>
    </sheetView>
  </sheetViews>
  <sheetFormatPr baseColWidth="10" defaultRowHeight="16" x14ac:dyDescent="0.2"/>
  <cols>
    <col min="1" max="1" width="24.1640625" bestFit="1" customWidth="1"/>
    <col min="2" max="2" width="45.1640625" bestFit="1" customWidth="1"/>
  </cols>
  <sheetData>
    <row r="3" spans="1:2" x14ac:dyDescent="0.2">
      <c r="A3" s="10" t="s">
        <v>407</v>
      </c>
      <c r="B3" t="s">
        <v>410</v>
      </c>
    </row>
    <row r="4" spans="1:2" x14ac:dyDescent="0.2">
      <c r="A4" s="11" t="s">
        <v>406</v>
      </c>
      <c r="B4">
        <v>30</v>
      </c>
    </row>
    <row r="5" spans="1:2" x14ac:dyDescent="0.2">
      <c r="A5" s="11" t="s">
        <v>405</v>
      </c>
      <c r="B5">
        <v>4</v>
      </c>
    </row>
    <row r="6" spans="1:2" x14ac:dyDescent="0.2">
      <c r="A6" s="11" t="s">
        <v>404</v>
      </c>
      <c r="B6">
        <v>47</v>
      </c>
    </row>
    <row r="7" spans="1:2" x14ac:dyDescent="0.2">
      <c r="A7" s="11" t="s">
        <v>408</v>
      </c>
      <c r="B7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KEEPER LLM Sensitivity All</vt:lpstr>
      <vt:lpstr>All by All</vt:lpstr>
      <vt:lpstr>Clinician</vt:lpstr>
      <vt:lpstr>GPT 5o</vt:lpstr>
      <vt:lpstr>GPT5o-Table</vt:lpstr>
      <vt:lpstr>Copilot 4o</vt:lpstr>
      <vt:lpstr>Copilot 4o-Table</vt:lpstr>
      <vt:lpstr>Copilot 5o</vt:lpstr>
      <vt:lpstr>Copilot 5o-Table</vt:lpstr>
      <vt:lpstr>Gemini</vt:lpstr>
      <vt:lpstr>Gemini-Table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Kostka</dc:creator>
  <cp:lastModifiedBy>Kristin Kostka</cp:lastModifiedBy>
  <dcterms:created xsi:type="dcterms:W3CDTF">2025-10-04T14:07:56Z</dcterms:created>
  <dcterms:modified xsi:type="dcterms:W3CDTF">2025-10-04T23:49:36Z</dcterms:modified>
</cp:coreProperties>
</file>