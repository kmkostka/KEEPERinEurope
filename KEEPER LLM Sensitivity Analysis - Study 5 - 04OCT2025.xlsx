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kostka/Documents/Oxford/"/>
    </mc:Choice>
  </mc:AlternateContent>
  <xr:revisionPtr revIDLastSave="0" documentId="13_ncr:1_{E7D68F2F-2577-5A4C-B809-910865D80085}" xr6:coauthVersionLast="47" xr6:coauthVersionMax="47" xr10:uidLastSave="{00000000-0000-0000-0000-000000000000}"/>
  <bookViews>
    <workbookView xWindow="9880" yWindow="760" windowWidth="19520" windowHeight="17040" activeTab="1" xr2:uid="{6AC0E3D3-3D9C-A346-BDC6-E46F53B3BFAD}"/>
  </bookViews>
  <sheets>
    <sheet name="KEEPER LLM Sensitivity All" sheetId="9" r:id="rId1"/>
    <sheet name="All by All" sheetId="11" r:id="rId2"/>
    <sheet name="Clinician-APU" sheetId="12" r:id="rId3"/>
    <sheet name="Clinician-DPA" sheetId="10" r:id="rId4"/>
    <sheet name="Copilot 4o" sheetId="2" r:id="rId5"/>
    <sheet name="Copilot 4o Table" sheetId="1" r:id="rId6"/>
    <sheet name="Copilot 5o" sheetId="3" r:id="rId7"/>
    <sheet name="Copilot 5o Table" sheetId="6" r:id="rId8"/>
    <sheet name="GPT 5o" sheetId="4" r:id="rId9"/>
    <sheet name="GPT 5o Table" sheetId="7" r:id="rId10"/>
    <sheet name="Gemini" sheetId="5" r:id="rId11"/>
    <sheet name="Gemini Table" sheetId="8" r:id="rId12"/>
  </sheets>
  <definedNames>
    <definedName name="_xlnm._FilterDatabase" localSheetId="1" hidden="1">'All by All'!$A$1:$G$84</definedName>
    <definedName name="_xlnm._FilterDatabase" localSheetId="2" hidden="1">'Clinician-APU'!$A$1:$V$84</definedName>
    <definedName name="ExternalData_1" localSheetId="3" hidden="1">'Clinician-DPA'!$A$1:$R$84</definedName>
  </definedNames>
  <calcPr calcId="191029"/>
  <pivotCaches>
    <pivotCache cacheId="88" r:id="rId13"/>
    <pivotCache cacheId="89" r:id="rId14"/>
    <pivotCache cacheId="90" r:id="rId15"/>
    <pivotCache cacheId="9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1" l="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F15" i="11"/>
  <c r="F2" i="11"/>
  <c r="F84" i="11"/>
  <c r="E84" i="11"/>
  <c r="D84" i="11"/>
  <c r="C84" i="11"/>
  <c r="F83" i="11"/>
  <c r="E83" i="11"/>
  <c r="D83" i="11"/>
  <c r="C83" i="11"/>
  <c r="F82" i="11"/>
  <c r="E82" i="11"/>
  <c r="D82" i="11"/>
  <c r="C82" i="11"/>
  <c r="F81" i="11"/>
  <c r="E81" i="11"/>
  <c r="D81" i="11"/>
  <c r="C81" i="11"/>
  <c r="F80" i="11"/>
  <c r="E80" i="11"/>
  <c r="D80" i="11"/>
  <c r="C80" i="11"/>
  <c r="F79" i="11"/>
  <c r="E79" i="11"/>
  <c r="D79" i="11"/>
  <c r="C79" i="11"/>
  <c r="F78" i="11"/>
  <c r="E78" i="11"/>
  <c r="D78" i="11"/>
  <c r="C78" i="11"/>
  <c r="F77" i="11"/>
  <c r="E77" i="11"/>
  <c r="D77" i="11"/>
  <c r="C77" i="11"/>
  <c r="F76" i="11"/>
  <c r="E76" i="11"/>
  <c r="D76" i="11"/>
  <c r="C76" i="11"/>
  <c r="F75" i="11"/>
  <c r="E75" i="11"/>
  <c r="D75" i="11"/>
  <c r="C75" i="11"/>
  <c r="F74" i="11"/>
  <c r="E74" i="11"/>
  <c r="D74" i="11"/>
  <c r="C74" i="11"/>
  <c r="F73" i="11"/>
  <c r="E73" i="11"/>
  <c r="D73" i="11"/>
  <c r="C73" i="11"/>
  <c r="F72" i="11"/>
  <c r="E72" i="11"/>
  <c r="D72" i="11"/>
  <c r="C72" i="11"/>
  <c r="F71" i="11"/>
  <c r="E71" i="11"/>
  <c r="D71" i="11"/>
  <c r="C71" i="11"/>
  <c r="F70" i="11"/>
  <c r="E70" i="11"/>
  <c r="D70" i="11"/>
  <c r="C70" i="11"/>
  <c r="F69" i="11"/>
  <c r="E69" i="11"/>
  <c r="D69" i="11"/>
  <c r="C69" i="11"/>
  <c r="F68" i="11"/>
  <c r="E68" i="11"/>
  <c r="D68" i="11"/>
  <c r="C68" i="11"/>
  <c r="F67" i="11"/>
  <c r="E67" i="11"/>
  <c r="D67" i="11"/>
  <c r="C67" i="11"/>
  <c r="F66" i="11"/>
  <c r="E66" i="11"/>
  <c r="D66" i="11"/>
  <c r="C66" i="11"/>
  <c r="F65" i="11"/>
  <c r="E65" i="11"/>
  <c r="D65" i="11"/>
  <c r="C65" i="11"/>
  <c r="F64" i="11"/>
  <c r="E64" i="11"/>
  <c r="D64" i="11"/>
  <c r="C64" i="11"/>
  <c r="F63" i="11"/>
  <c r="E63" i="11"/>
  <c r="D63" i="11"/>
  <c r="C63" i="11"/>
  <c r="F62" i="11"/>
  <c r="E62" i="11"/>
  <c r="D62" i="11"/>
  <c r="C62" i="11"/>
  <c r="F61" i="11"/>
  <c r="E61" i="11"/>
  <c r="D61" i="11"/>
  <c r="C61" i="11"/>
  <c r="F60" i="11"/>
  <c r="E60" i="11"/>
  <c r="D60" i="11"/>
  <c r="C60" i="11"/>
  <c r="F59" i="11"/>
  <c r="E59" i="11"/>
  <c r="D59" i="11"/>
  <c r="C59" i="11"/>
  <c r="F58" i="11"/>
  <c r="E58" i="11"/>
  <c r="D58" i="11"/>
  <c r="C58" i="11"/>
  <c r="F57" i="11"/>
  <c r="E57" i="11"/>
  <c r="D57" i="11"/>
  <c r="C57" i="11"/>
  <c r="F56" i="11"/>
  <c r="E56" i="11"/>
  <c r="D56" i="11"/>
  <c r="C56" i="11"/>
  <c r="F55" i="11"/>
  <c r="E55" i="11"/>
  <c r="D55" i="11"/>
  <c r="C55" i="11"/>
  <c r="F54" i="11"/>
  <c r="E54" i="11"/>
  <c r="D54" i="11"/>
  <c r="C54" i="11"/>
  <c r="F53" i="11"/>
  <c r="E53" i="11"/>
  <c r="D53" i="11"/>
  <c r="C53" i="11"/>
  <c r="F52" i="11"/>
  <c r="E52" i="11"/>
  <c r="D52" i="11"/>
  <c r="C52" i="11"/>
  <c r="F51" i="11"/>
  <c r="E51" i="11"/>
  <c r="D51" i="11"/>
  <c r="C51" i="11"/>
  <c r="F50" i="11"/>
  <c r="E50" i="11"/>
  <c r="D50" i="11"/>
  <c r="C50" i="11"/>
  <c r="F49" i="11"/>
  <c r="E49" i="11"/>
  <c r="D49" i="11"/>
  <c r="C49" i="11"/>
  <c r="F48" i="11"/>
  <c r="E48" i="11"/>
  <c r="D48" i="11"/>
  <c r="C48" i="11"/>
  <c r="F47" i="11"/>
  <c r="E47" i="11"/>
  <c r="D47" i="11"/>
  <c r="C47" i="11"/>
  <c r="F46" i="11"/>
  <c r="E46" i="11"/>
  <c r="D46" i="11"/>
  <c r="C46" i="11"/>
  <c r="F45" i="11"/>
  <c r="E45" i="11"/>
  <c r="D45" i="11"/>
  <c r="C45" i="11"/>
  <c r="F44" i="11"/>
  <c r="E44" i="11"/>
  <c r="D44" i="11"/>
  <c r="C44" i="11"/>
  <c r="F43" i="11"/>
  <c r="E43" i="11"/>
  <c r="D43" i="11"/>
  <c r="C43" i="11"/>
  <c r="F42" i="11"/>
  <c r="E42" i="11"/>
  <c r="D42" i="11"/>
  <c r="C42" i="11"/>
  <c r="F41" i="11"/>
  <c r="E41" i="11"/>
  <c r="D41" i="11"/>
  <c r="C41" i="11"/>
  <c r="F40" i="11"/>
  <c r="E40" i="11"/>
  <c r="D40" i="11"/>
  <c r="C40" i="11"/>
  <c r="F39" i="11"/>
  <c r="E39" i="11"/>
  <c r="D39" i="11"/>
  <c r="C39" i="11"/>
  <c r="F38" i="11"/>
  <c r="E38" i="11"/>
  <c r="D38" i="11"/>
  <c r="C38" i="11"/>
  <c r="F37" i="11"/>
  <c r="E37" i="11"/>
  <c r="D37" i="11"/>
  <c r="C37" i="11"/>
  <c r="F36" i="11"/>
  <c r="E36" i="11"/>
  <c r="D36" i="11"/>
  <c r="C36" i="11"/>
  <c r="F35" i="11"/>
  <c r="E35" i="11"/>
  <c r="D35" i="11"/>
  <c r="C35" i="11"/>
  <c r="F34" i="11"/>
  <c r="E34" i="11"/>
  <c r="D34" i="11"/>
  <c r="C34" i="11"/>
  <c r="F33" i="11"/>
  <c r="E33" i="11"/>
  <c r="D33" i="11"/>
  <c r="C33" i="11"/>
  <c r="F32" i="11"/>
  <c r="E32" i="11"/>
  <c r="D32" i="11"/>
  <c r="C32" i="11"/>
  <c r="F31" i="11"/>
  <c r="E31" i="11"/>
  <c r="D31" i="11"/>
  <c r="C31" i="11"/>
  <c r="F30" i="11"/>
  <c r="E30" i="11"/>
  <c r="D30" i="11"/>
  <c r="C30" i="11"/>
  <c r="F29" i="11"/>
  <c r="E29" i="11"/>
  <c r="D29" i="11"/>
  <c r="C29" i="11"/>
  <c r="F28" i="11"/>
  <c r="E28" i="11"/>
  <c r="D28" i="11"/>
  <c r="C28" i="11"/>
  <c r="F27" i="11"/>
  <c r="E27" i="11"/>
  <c r="D27" i="11"/>
  <c r="C27" i="11"/>
  <c r="F26" i="11"/>
  <c r="E26" i="11"/>
  <c r="D26" i="11"/>
  <c r="C26" i="11"/>
  <c r="F25" i="11"/>
  <c r="E25" i="11"/>
  <c r="D25" i="11"/>
  <c r="C25" i="11"/>
  <c r="F24" i="11"/>
  <c r="E24" i="11"/>
  <c r="D24" i="11"/>
  <c r="C24" i="11"/>
  <c r="F23" i="11"/>
  <c r="E23" i="11"/>
  <c r="D23" i="11"/>
  <c r="C23" i="11"/>
  <c r="F22" i="11"/>
  <c r="E22" i="11"/>
  <c r="D22" i="11"/>
  <c r="C22" i="11"/>
  <c r="F21" i="11"/>
  <c r="E21" i="11"/>
  <c r="D21" i="11"/>
  <c r="C21" i="11"/>
  <c r="F20" i="11"/>
  <c r="E20" i="11"/>
  <c r="D20" i="11"/>
  <c r="C20" i="11"/>
  <c r="F19" i="11"/>
  <c r="E19" i="11"/>
  <c r="D19" i="11"/>
  <c r="C19" i="11"/>
  <c r="F18" i="11"/>
  <c r="E18" i="11"/>
  <c r="D18" i="11"/>
  <c r="C18" i="11"/>
  <c r="F17" i="11"/>
  <c r="E17" i="11"/>
  <c r="D17" i="11"/>
  <c r="C17" i="11"/>
  <c r="F16" i="11"/>
  <c r="E16" i="11"/>
  <c r="D16" i="11"/>
  <c r="C16" i="11"/>
  <c r="E15" i="11"/>
  <c r="D15" i="11"/>
  <c r="C15" i="11"/>
  <c r="F14" i="11"/>
  <c r="E14" i="11"/>
  <c r="D14" i="11"/>
  <c r="C14" i="11"/>
  <c r="F13" i="11"/>
  <c r="E13" i="11"/>
  <c r="D13" i="11"/>
  <c r="C13" i="11"/>
  <c r="F12" i="11"/>
  <c r="E12" i="11"/>
  <c r="D12" i="11"/>
  <c r="C12" i="11"/>
  <c r="F11" i="11"/>
  <c r="E11" i="11"/>
  <c r="D11" i="11"/>
  <c r="C11" i="11"/>
  <c r="F10" i="11"/>
  <c r="E10" i="11"/>
  <c r="D10" i="11"/>
  <c r="C10" i="11"/>
  <c r="F9" i="11"/>
  <c r="E9" i="11"/>
  <c r="D9" i="11"/>
  <c r="C9" i="11"/>
  <c r="F8" i="11"/>
  <c r="E8" i="11"/>
  <c r="D8" i="11"/>
  <c r="C8" i="11"/>
  <c r="F7" i="11"/>
  <c r="E7" i="11"/>
  <c r="D7" i="11"/>
  <c r="C7" i="11"/>
  <c r="F6" i="11"/>
  <c r="E6" i="11"/>
  <c r="D6" i="11"/>
  <c r="C6" i="11"/>
  <c r="F5" i="11"/>
  <c r="E5" i="11"/>
  <c r="D5" i="11"/>
  <c r="C5" i="11"/>
  <c r="F4" i="11"/>
  <c r="E4" i="11"/>
  <c r="D4" i="11"/>
  <c r="C4" i="11"/>
  <c r="F3" i="11"/>
  <c r="E3" i="11"/>
  <c r="D3" i="11"/>
  <c r="C3" i="11"/>
  <c r="E2" i="11"/>
  <c r="D2" i="11"/>
  <c r="C2" i="11"/>
  <c r="H4" i="9"/>
  <c r="H5" i="9"/>
  <c r="H3" i="9"/>
  <c r="F5" i="9"/>
  <c r="F4" i="9"/>
  <c r="F3" i="9"/>
  <c r="D5" i="9"/>
  <c r="D4" i="9"/>
  <c r="D3" i="9"/>
  <c r="J5" i="9"/>
  <c r="J4" i="9"/>
  <c r="J3" i="9"/>
  <c r="B82" i="11" l="1"/>
  <c r="B74" i="11"/>
  <c r="B81" i="11"/>
  <c r="B73" i="11"/>
  <c r="B65" i="11"/>
  <c r="B57" i="11"/>
  <c r="B49" i="11"/>
  <c r="B41" i="11"/>
  <c r="B33" i="11"/>
  <c r="B25" i="11"/>
  <c r="B17" i="11"/>
  <c r="B9" i="11"/>
  <c r="B72" i="11"/>
  <c r="B64" i="11"/>
  <c r="B56" i="11"/>
  <c r="B48" i="11"/>
  <c r="B40" i="11"/>
  <c r="B32" i="11"/>
  <c r="B24" i="11"/>
  <c r="B16" i="11"/>
  <c r="B8" i="11"/>
  <c r="B71" i="11"/>
  <c r="B63" i="11"/>
  <c r="B55" i="11"/>
  <c r="B47" i="11"/>
  <c r="B39" i="11"/>
  <c r="B31" i="11"/>
  <c r="B23" i="11"/>
  <c r="B15" i="11"/>
  <c r="B7" i="11"/>
  <c r="B58" i="11"/>
  <c r="B42" i="11"/>
  <c r="B18" i="11"/>
  <c r="B2" i="11"/>
  <c r="B80" i="11"/>
  <c r="B79" i="11"/>
  <c r="B78" i="11"/>
  <c r="B70" i="11"/>
  <c r="B62" i="11"/>
  <c r="B54" i="11"/>
  <c r="B46" i="11"/>
  <c r="B38" i="11"/>
  <c r="B30" i="11"/>
  <c r="B22" i="11"/>
  <c r="B14" i="11"/>
  <c r="B6" i="11"/>
  <c r="B36" i="11"/>
  <c r="B28" i="11"/>
  <c r="B12" i="11"/>
  <c r="B75" i="11"/>
  <c r="B51" i="11"/>
  <c r="B35" i="11"/>
  <c r="B19" i="11"/>
  <c r="B3" i="11"/>
  <c r="B66" i="11"/>
  <c r="B50" i="11"/>
  <c r="B34" i="11"/>
  <c r="B26" i="11"/>
  <c r="B10" i="11"/>
  <c r="B77" i="11"/>
  <c r="B69" i="11"/>
  <c r="B61" i="11"/>
  <c r="B53" i="11"/>
  <c r="B45" i="11"/>
  <c r="B37" i="11"/>
  <c r="B29" i="11"/>
  <c r="B21" i="11"/>
  <c r="B13" i="11"/>
  <c r="B5" i="11"/>
  <c r="B76" i="11"/>
  <c r="B68" i="11"/>
  <c r="B60" i="11"/>
  <c r="B52" i="11"/>
  <c r="B44" i="11"/>
  <c r="B20" i="11"/>
  <c r="B4" i="11"/>
  <c r="B67" i="11"/>
  <c r="B59" i="11"/>
  <c r="B43" i="11"/>
  <c r="B27" i="11"/>
  <c r="B11" i="11"/>
  <c r="B84" i="11"/>
  <c r="B8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36878-8390-664E-B958-40DF90395724}" keepAlive="1" name="Query - keeper_output_hds3" description="Connection to the 'keeper_output_hds3' query in the workbook." type="5" refreshedVersion="8" background="1" saveData="1">
    <dbPr connection="Provider=Microsoft.Mashup.OleDb.1;Data Source=$Workbook$;Location=keeper_output_hds3;Extended Properties=&quot;&quot;" command="SELECT * FROM [keeper_output_hds3]"/>
  </connection>
</connections>
</file>

<file path=xl/sharedStrings.xml><?xml version="1.0" encoding="utf-8"?>
<sst xmlns="http://schemas.openxmlformats.org/spreadsheetml/2006/main" count="4318" uniqueCount="362">
  <si>
    <t>Probable</t>
  </si>
  <si>
    <t>insulin lispro (day 1186, for 27 days); insulin glargine (day 1186, for 27 days); insulin glargine (day 1254, for 27 days); insulin lispro (day 1254, for 27 days); insulin lispro (day 1430, for 27 days); insulin lispro (day 1526, for 27 days); insulin glargine (day 1539, for 80 days); insulin lispro (day 1592, for 27 days); insulin lispro (day 1665, for 126 days); insulin glargine (day 1665, for 27 days); insulin glargine (day 1870, for 27 days); insulin lispro (day 1890, for 27 days); insulin lispro (day 1959, for 92 days); insulin glargine (day 2066, for 27 days); insulin lispro (day 2115, for 27 days); insulin lispro (day 2177, for 27 days); insulin glargine (day 2218, for 27 days); insulin lispro (day 2247, for 243 days); insulin glargine (day 2304, for 27 days); insulin glargine (day 2407, for 83 days); insulin lispro (day 2526, for 27 days); insulin lispro (day 2605, for 257 days); insulin glargine (day 2605, for 27 days); insulin glargine (day 2731, for 27 days); insulin glargine (day 2806, for 27 days); insulin lispro (day 2911, for 107 days); insulin glargine (day 2911, for 27 days); insulin glargine (day 2991, for 27 days); insulin lispro (day 3065, for 181 days); insulin glargine (day 3118, for 80 days); insulin glargine (day 3279, for 27 days); insulin lispro (day 3279, for 660 days); insulin glargine (day 3353, for 78 days); insulin glargine (day 3482, for 27 days); insulin glargine (day 3563, for 121 days); insulin glargine (day 3775, for 123 days); insulin lispro (day 3975, for 134 days); insulin glargine (day 3975, for 27 days); insulin glargine (day 4048, for 61 days); insulin glargine (day 4145, for 74 days); insulin lispro (day 4146, for 75 days); insulin lispro (day 4263, for 349 days); insulin glargine (day 4298, for 72 days); insulin glargine (day 4454, for 123 days); insulin lispro (day 4692, for 89 days); insulin glargine (day 4727, for 54 days); insulin glargine (day 4839, for 27 days); insulin lispro (day 4839, for 27 days); insulin glargine (day 4930, for 80 days); insulin lispro (day 4930, for 104 days); insulin lispro (day 5105, for 27 days); insulin glargine (day 5105, for 27 days); insulin glargine (day 6064, for 49 days); insulin lispro (day 6064, for 49 days); insulin lispro (day 6162, for 27 days); insulin glargine (day 6162, for 27 days); insulin glargine (day 6223, for 27 days); insulin lispro (day 6223, for 27 days); insulin glargine (day 6285, for 27 days); insulin glargine (day 6351, for 41 days); insulin lispro (day 6351, for 67 days);</t>
  </si>
  <si>
    <t>Mixed anxiety and depressive disorder (day 5237); Type 1 diabetes mellitus (day 333)</t>
  </si>
  <si>
    <t>Type 1 diabetes mellitus (EHR);</t>
  </si>
  <si>
    <t>Office Visit</t>
  </si>
  <si>
    <t>-1750 days - 6407 days</t>
  </si>
  <si>
    <t>Female</t>
  </si>
  <si>
    <t>insulin aspart, human (day 2, for 0 days); insulin aspart, human (day 166, for 36 days); insulin glargine (day 175, for 0 days); insulin glargine (day 238, for 27 days); insulin aspart, human (day 238, for 27 days); insulin glargine (day 299, for 27 days); insulin aspart, human (day 383, for 27 days); insulin glargine (day 383, for 27 days); insulin aspart, human (day 537, for 27 days); insulin glargine (day 537, for 27 days); insulin glargine (day 737, for 27 days); insulin aspart, human (day 737, for 27 days); insulin aspart, human (day 807, for 27 days); insulin glargine (day 807, for 27 days); insulin aspart, human (day 1015, for 27 days); insulin glargine (day 1015, for 27 days); insulin aspart, human (day 1282, for 27 days); insulin glargine (day 1282, for 27 days); insulin glargine (day 1374, for 27 days); insulin aspart, human (day 1374, for 27 days); insulin aspart, human (day 1759, for 27 days); insulin glargine (day 1759, for 27 days); insulin glargine (day 1913, for 27 days); insulin aspart, human (day 1913, for 27 days); insulin aspart, human (day 2091, for 27 days); insulin glargine (day 2091, for 27 days); insulin aspart, human (day 2234, for 27 days); insulin glargine (day 2234, for 27 days); insulin aspart, human (day 2515, for 27 days); insulin glargine (day 2515, for 27 days); insulin aspart, human (day 2602, for 27 days); insulin glargine (day 2602, for 27 days); insulin aspart, human (day 2667, for 27 days); insulin glargine (day 2667, for 27 days); insulin glargine (day 2883, for 27 days); insulin aspart, human (day 2883, for 27 days); insulin glargine (day 3019, for 27 days); insulin aspart, human (day 3019, for 27 days); insulin glargine (day 3254, for 27 days); insulin aspart, human (day 3254, for 27 days); insulin glargine (day 3352, for 27 days); insulin aspart, human (day 3352, for 27 days); insulin glargine (day 3439, for 62 days); insulin aspart, human (day 3439, for 62 days); insulin glargine (day 3569, for 27 days); insulin aspart, human (day 3569, for 27 days); insulin aspart, human (day 3718, for 27 days); insulin glargine (day 3718, for 27 days); insulin glargine (day 3877, for 27 days); insulin aspart, human (day 3877, for 27 days); insulin aspart, human (day 4018, for 27 days); insulin glargine (day 4018, for 27 days); insulin aspart, human (day 4221, for 27 days); insulin glargine (day 4221, for 27 days); insulin aspart, human (day 4404, for 27 days); insulin glargine (day 4404, for 27 days);</t>
  </si>
  <si>
    <t>-1462 days - 4578 days</t>
  </si>
  <si>
    <t>insulin, regular, human (day 0, for 69 days); insulin, regular, human (day 383, for 27 days); insulin, regular, human (day 508, for 27 days); insulin, regular, human (day 605, for 27 days); insulin, regular, human (day 721, for 66 days); insulin, regular, human (day 1096, for 27 days); insulin, regular, human (day 1235, for 27 days); insulin, regular, human (day 1369, for 27 days); insulin, regular, human (day 1453, for 27 days); insulin, regular, human (day 1530, for 57 days); insulin, regular, human (day 1634, for 84 days); insulin, regular, human (day 1769, for 202 days); insulin, regular, human (day 2019, for 69 days); insulin, regular, human (day 2121, for 27 days);</t>
  </si>
  <si>
    <t>Type 1 diabetes mellitus (day 1266)</t>
  </si>
  <si>
    <t>-2268 days - 2189 days</t>
  </si>
  <si>
    <t>Male</t>
  </si>
  <si>
    <t>insulin aspart, human (day 106, for 3 days); insulin aspart, human (day 150, for 27 days); insulin aspart, human (day 220, for 27 days); insulin aspart, human (day 303, for 3 days); insulin aspart, human (day 373, for 3 days); insulin aspart, human (day 421, for 3 days); insulin aspart, human (day 488, for 15 days);</t>
  </si>
  <si>
    <t>-367 days - 508 days</t>
  </si>
  <si>
    <t>insulin aspart, human (day 12, for 1 days); insulin aspart, human (day 55, for 1 days); insulin aspart, human (day 97, for 1 days); insulin aspart, human (day 201, for 127 days); insulin aspart, human (day 369, for 125 days); insulin aspart, human (day 541, for 58 days); insulin aspart, human (day 686, for 103 days); insulin aspart, human (day 832, for 27 days); insulin aspart, human (day 910, for 340 days); insulin aspart, human (day 1314, for 300 days); insulin aspart, human (day 1647, for 310 days); insulin aspart, human (day 1994, for 310 days);</t>
  </si>
  <si>
    <t>-630 days - 2283 days</t>
  </si>
  <si>
    <t>insulin aspart, human (day 34, for 0 days); insulin, regular, human (day 37, for 50 days); insulin aspart, human (day 81, for 218 days); insulin aspart, human (day 338, for 288 days); insulin aspart, human (day 663, for 52 days); insulin aspart, human (day 746, for 27 days); insulin aspart, human (day 815, for 114 days); insulin aspart, human (day 993, for 27 days); insulin aspart, human (day 1083, for 97 days); insulin aspart, human (day 1217, for 194 days); insulin aspart, human (day 1451, for 115 days); insulin aspart, human (day 1663, for 222 days); insulin aspart, human (day 1945, for 27 days);</t>
  </si>
  <si>
    <t>Ketoacidosis due to type 1 diabetes mellitus (day 1248)</t>
  </si>
  <si>
    <t>-2079 days - 1974 days</t>
  </si>
  <si>
    <t>insulin aspart, human (day 1, for 228 days); insulin aspart, human (day 293, for 319 days);</t>
  </si>
  <si>
    <t>-951 days - 602 days</t>
  </si>
  <si>
    <t>insulin aspart, human (day 0, for 13 days); insulin glargine (day 0, for 13 days); insulin aspart, human (day 55, for 86 days); insulin glargine (day 55, for 23 days); insulin glargine (day 141, for 0 days); insulin glargine (day 188, for 0 days); insulin aspart, human (day 188, for 28 days); insulin aspart, human (day 266, for 41 days); insulin glargine (day 307, for 0 days); insulin degludec (day 346, for 0 days); insulin aspart, human (day 357, for 0 days); insulin aspart, human (day 391, for 0 days); insulin degludec (day 391, for 0 days); insulin aspart, human (day 434, for 0 days); insulin degludec (day 434, for 0 days); insulin aspart, human (day 469, for 0 days); insulin degludec (day 469, for 0 days); insulin aspart, human (day 513, for 0 days); insulin aspart, human (day 561, for 0 days); insulin degludec (day 561, for 0 days); insulin degludec (day 637, for 0 days); insulin aspart, human (day 637, for 0 days);</t>
  </si>
  <si>
    <t>Type 1 diabetes mellitus (day 435)</t>
  </si>
  <si>
    <t>Celiac disease (day -742)</t>
  </si>
  <si>
    <t>-1658 days - 672 days</t>
  </si>
  <si>
    <t>insulin aspart, human (day 6, for 219 days); insulin aspart, human (day 258, for 205 days);</t>
  </si>
  <si>
    <t>-943 days - 1218 days</t>
  </si>
  <si>
    <t>insulin, regular, human (day 2, for 137 days); insulin, regular, human (day 199, for 27 days); insulin aspart, human (day 239, for 27 days); insulin, regular, human (day 331, for 27 days); insulin, regular, human (day 389, for 66 days); insulin aspart, human (day 389, for 66 days); insulin, regular, human (day 486, for 27 days); insulin aspart, human (day 568, for 83 days); insulin, regular, human (day 568, for 267 days); insulin aspart, human (day 710, for 59 days); insulin, regular, human (day 899, for 27 days);</t>
  </si>
  <si>
    <t>-914 days - 935 days</t>
  </si>
  <si>
    <t>insulin aspart, human (day 19, for 17 days); insulin glargine (day 34, for 2 days); insulin glargine (day 67, for 70 days); insulin aspart, human (day 70, for 67 days); insulin glargine (day 175, for 49 days); insulin aspart, human (day 175, for 49 days); insulin aspart, human (day 258, for 0 days); insulin glargine (day 258, for 0 days); insulin aspart, human (day 301, for 83 days); insulin glargine (day 301, for 83 days); insulin glargine (day 540, for 0 days); insulin aspart, human (day 540, for 26 days); insulin aspart, human (day 606, for 72 days); insulin glargine (day 651, for 27 days); insulin aspart, human (day 715, for 82 days); insulin glargine (day 715, for 82 days); insulin aspart, human (day 834, for 84 days); insulin glargine (day 837, for 81 days); insulin aspart, human (day 949, for 87 days); insulin glargine (day 949, for 87 days); insulin aspart, human (day 1076, for 29 days); insulin glargine (day 1076, for 29 days); insulin aspart, human (day 1142, for 28 days); insulin glargine (day 1142, for 28 days); insulin aspart, human (day 1210, for 0 days); insulin glargine (day 1210, for 0 days); insulin aspart, human (day 1243, for 0 days); insulin glargine (day 1243, for 0 days); insulin aspart, human (day 1280, for 30 days); insulin glargine (day 1280, for 30 days); insulin aspart, human (day 1341, for 51 days); insulin glargine (day 1341, for 51 days); insulin glargine (day 1426, for 0 days); insulin aspart, human (day 1426, for 0 days); insulin aspart, human (day 1468, for 0 days); insulin glargine (day 1468, for 0 days); insulin glargine (day 1509, for 25 days); insulin aspart, human (day 1509, for 25 days); insulin glargine (day 1567, for 27 days); insulin aspart, human (day 1567, for 27 days); insulin glargine (day 1651, for 0 days); insulin aspart, human (day 1651, for 0 days); insulin aspart, human (day 1712, for 46 days); insulin glargine (day 1712, for 46 days); insulin glargine (day 1807, for 28 days); insulin aspart, human (day 1807, for 28 days); insulin glargine (day 1875, for 0 days); insulin aspart, human (day 1875, for 0 days); insulin glargine (day 1932, for 26 days); insulin aspart, human (day 1932, for 26 days); insulin glargine (day 2041, for 23 days); insulin aspart, human (day 2041, for 23 days); insulin aspart, human (day 2101, for 0 days); insulin glargine (day 2101, for 0 days); insulin glargine (day 2140, for 0 days); insulin aspart, human (day 2140, for 0 days); insulin glargine (day 2177, for 22 days); insulin aspart, human (day 2177, for 22 days); insulin glargine (day 2233, for 0 days); insulin aspart, human (day 2233, for 0 days); insulin glargine (day 2280, for 28 days); insulin aspart, human (day 2280, for 28 days);</t>
  </si>
  <si>
    <t>Mixed anxiety and depressive disorder (day 2251); Type 1 diabetes mellitus (day 43)</t>
  </si>
  <si>
    <t>-5305 days - 2323 days</t>
  </si>
  <si>
    <t>insulin aspart, human (day 62, for 0 days); insulin aspart, human (day 170, for 0 days); insulin aspart, human (day 415, for 0 days); insulin aspart, human (day 496, for 0 days); insulin aspart, human (day 588, for 0 days);</t>
  </si>
  <si>
    <t>Diabetes mellitus (day 17); Endogenous depression first episode (day 415)</t>
  </si>
  <si>
    <t>-384 days - 630 days</t>
  </si>
  <si>
    <t>insulin glargine (day 4, for 27 days); insulin aspart, human (day 4, for 27 days);</t>
  </si>
  <si>
    <t>-2213 days - 173 days</t>
  </si>
  <si>
    <t>Case</t>
  </si>
  <si>
    <t>insulin aspart, human (day 8, for 4 days); insulin glargine (day 29, for 0 days); insulin aspart, human (day 57, for 26 days); insulin aspart, human (day 125, for 4 days); insulin glargine (day 125, for 0 days); insulin aspart, human (day 210, for 4 days); insulin glargine (day 210, for 0 days); insulin aspart, human (day 262, for 49 days); insulin glargine (day 273, for 0 days); insulin aspart, human (day 405, for 4 days); insulin aspart, human (day 471, for 4 days); insulin aspart, human (day 568, for 4 days); insulin aspart, human (day 610, for 4 days); insulin aspart, human (day 680, for 4 days); insulin aspart, human (day 715, for 4 days); insulin glargine (day 715, for 0 days); insulin aspart, human (day 814, for 4 days); insulin glargine (day 853, for 0 days); insulin aspart, human (day 853, for 4 days);</t>
  </si>
  <si>
    <t>Fatigue (day -4)</t>
  </si>
  <si>
    <t>-2805 days - 862 days</t>
  </si>
  <si>
    <t>insulin aspart, human (day 0, for 83 days); insulin aspart, human (day 119, for 27 days); insulin aspart, human (day 202, for 27 days); insulin aspart, human (day 525, for 73 days); insulin aspart, human (day 1166, for 27 days); insulin aspart, human (day 1533, for 27 days); insulin aspart, human (day 2149, for 27 days);</t>
  </si>
  <si>
    <t>Type 1 diabetes mellitus (day 1644)</t>
  </si>
  <si>
    <t>-4588 days - 2179 days</t>
  </si>
  <si>
    <t>insulin, regular, human (day 2, for 28 days); insulin lispro (day 58, for 27 days); insulin, regular, human (day 75, for 27 days); insulin, regular, human (day 191, for 133 days); insulin lispro (day 303, for 27 days); insulin glargine (day 362, for 0 days); insulin lispro (day 388, for 27 days); insulin aspart, human (day 423, for 0 days); insulin aspart, human (day 456, for 1582 days); insulin lispro (day 542, for 27 days); insulin glargine (day 542, for 0 days); insulin glargine (day 905, for 0 days); insulin lispro (day 905, for 65 days); insulin lispro (day 1115, for 27 days); insulin lispro (day 1186, for 27 days); insulin glargine (day 1376, for 27 days); insulin lispro (day 1376, for 53 days); insulin aspart, human (day 2087, for 1248 days); insulin lispro (day 2546, for 27 days); insulin glargine (day 2546, for 27 days); insulin glargine (day 3035, for 27 days); insulin lispro (day 3035, for 27 days); insulin aspart, human (day 3400, for 0 days); insulin lispro (day 3400, for 27 days); insulin aspart, human (day 3448, for 0 days); insulin aspart, human (day 3516, for 0 days); insulin aspart, human (day 3557, for 0 days); insulin aspart, human (day 3636, for 29 days); insulin glargine (day 3665, for 27 days); insulin lispro (day 3665, for 27 days); insulin aspart, human (day 3742, for 0 days); insulin aspart, human (day 3792, for 25 days); insulin aspart, human (day 3888, for 0 days); insulin aspart, human (day 3972, for 0 days); insulin aspart, human (day 4113, for 0 days); insulin aspart, human (day 4166, for 0 days); insulin aspart, human (day 4257, for 0 days); insulin aspart, human (day 4300, for 0 days); insulin aspart, human (day 4363, for 0 days); insulin aspart, human (day 4432, for 0 days); insulin aspart, human (day 4490, for 0 days); insulin aspart, human (day 4595, for 0 days); insulin aspart, human (day 4642, for 0 days); insulin aspart, human (day 4679, for 0 days); insulin aspart, human (day 4741, for 0 days); insulin aspart, human (day 4792, for 0 days); insulin aspart, human (day 4826, for 0 days); insulin aspart, human (day 4868, for 0 days); insulin aspart, human (day 4911, for 0 days); insulin aspart, human (day 4986, for 0 days); insulin aspart, human (day 5079, for 0 days); insulin aspart, human (day 5167, for 0 days); insulin aspart, human (day 5261, for 0 days); insulin glargine (day 5294, for 0 days); insulin aspart, human (day 5294, for 2 days); insulin aspart, human (day 5384, for 23 days); insulin aspart, human (day 5482, for 0 days); insulin aspart, human (day 5561, for 0 days); insulin aspart, human (day 5622, for 0 days);</t>
  </si>
  <si>
    <t>Ketoacidosis due to type 1 diabetes mellitus (day 4718)</t>
  </si>
  <si>
    <t>-1405 days - 5656 days</t>
  </si>
  <si>
    <t>insulin aspart, human (day 445, for 4 days); insulin glargine (day 445, for 0 days); insulin aspart, human (day 745, for 38 days); insulin glargine (day 779, for 0 days);</t>
  </si>
  <si>
    <t>Diabetes mellitus (day 445, 845)</t>
  </si>
  <si>
    <t>-2714 days - 871 days</t>
  </si>
  <si>
    <t>insulin aspart, human (day 32, for 27 days);</t>
  </si>
  <si>
    <t>-3063 days - 80 days</t>
  </si>
  <si>
    <t>insulin aspart, human (day 3, for 0 days); insulin glargine (day 3, for 0 days); insulin glargine (day 38, for 0 days); insulin aspart, human (day 38, for 0 days); insulin aspart, human (day 92, for 0 days); insulin glargine (day 130, for 0 days); insulin aspart, human (day 296, for 98 days); insulin glargine (day 339, for 49 days); insulin aspart, human (day 469, for 0 days); insulin aspart, human (day 505, for 24 days); insulin glargine (day 596, for 0 days); insulin aspart, human (day 665, for 0 days); insulin glargine (day 666, for 0 days); insulin aspart, human (day 738, for 0 days); insulin glargine (day 738, for 0 days); insulin aspart, human (day 869, for 0 days); insulin glargine (day 1569, for 0 days); insulin aspart, human (day 1569, for 0 days); insulin glargine (day 2016, for 0 days); insulin aspart, human (day 2016, for 0 days);</t>
  </si>
  <si>
    <t>Depressive disorder (day 1716); Diabetes mellitus (day 2131); Type 1 diabetes mellitus (day 1543, 1635, 2131)</t>
  </si>
  <si>
    <t>-2530 days - 2397 days</t>
  </si>
  <si>
    <t>insulin aspart, human (day 31, for 125 days); insulin aspart, human (day 213, for 27 days); insulin aspart, human (day 283, for 65 days); insulin aspart, human (day 388, for 27 days);</t>
  </si>
  <si>
    <t>-1197 days - 451 days</t>
  </si>
  <si>
    <t>insulin aspart, human (day 45, for 4 days); insulin glargine (day 90, for 14 days); insulin aspart, human (day 104, for 4 days); insulin aspart, human (day 142, for 32 days); insulin aspart, human (day 213, for 14 days); insulin glargine (day 223, for 16 days); insulin aspart, human (day 266, for 1 days); insulin aspart, human (day 307, for 1 days); insulin glargine (day 380, for 0 days); insulin aspart, human (day 405, for 1 days); insulin glargine (day 426, for 0 days); insulin aspart, human (day 454, for 1 days); insulin aspart, human (day 493, for 1 days); insulin glargine (day 493, for 0 days); insulin aspart, human (day 535, for 1 days); insulin glargine (day 580, for 0 days); insulin aspart, human (day 588, for 52 days); insulin glargine (day 650, for 0 days); insulin aspart, human (day 672, for 0 days); insulin glargine (day 707, for 0 days); insulin aspart, human (day 763, for 0 days); insulin glargine (day 804, for 0 days); insulin aspart, human (day 833, for 727 days); insulin glargine (day 1532, for 0 days); insulin aspart, human (day 1612, for 500 days); insulin glargine (day 2071, for 0 days); insulin aspart, human (day 2144, for 27 days); insulin aspart, human (day 2255, for 27 days); insulin aspart, human (day 2325, for 56 days); insulin aspart, human (day 2414, for 27 days); insulin aspart, human (day 2507, for 215 days); insulin aspart, human (day 2764, for 27 days); insulin aspart, human (day 2830, for 40 days); insulin glargine (day 2838, for 0 days); insulin aspart, human (day 2904, for 63 days);</t>
  </si>
  <si>
    <t>Tired all the time (day -29)</t>
  </si>
  <si>
    <t>-6083 days - 2955 days</t>
  </si>
  <si>
    <t>insulin aspart, human (day 0, for 231 days);</t>
  </si>
  <si>
    <t>Ketoacidosis due to type 1 diabetes mellitus (day 32)</t>
  </si>
  <si>
    <t>-1342 days - 228 days</t>
  </si>
  <si>
    <t>insulin aspart, human (day 55, for 27 days); insulin degludec (day 55, for 27 days); insulin aspart, human (day 160, for 0 days); insulin degludec (day 166, for 42 days); insulin aspart, human (day 195, for 13 days); insulin aspart, human (day 308, for 21 days); insulin aspart, human (day 362, for 8 days); insulin degludec (day 367, for 3 days);</t>
  </si>
  <si>
    <t>Nonproliferative retinopathy of left eye due to diabetes mellitus (day 56); Type 1 diabetes mellitus (day 80)</t>
  </si>
  <si>
    <t>-491 days - 383 days</t>
  </si>
  <si>
    <t>insulin aspart, human (day 2, for 104 days);</t>
  </si>
  <si>
    <t>-942 days - 128 days</t>
  </si>
  <si>
    <t>insulin aspart, human (day 6, for 132 days); insulin aspart, human (day 189, for 663 days); insulin aspart, human (day 1071, for 169 days);</t>
  </si>
  <si>
    <t>-1111 days - 1403 days</t>
  </si>
  <si>
    <t>insulin glargine (day 7, for 0 days); insulin aspart, human (day 7, for 0 days); insulin glargine (day 107, for 0 days); insulin aspart, human (day 179, for 27 days); insulin glargine (day 266, for 0 days); insulin glargine (day 371, for 0 days); insulin glargine (day 428, for 0 days); insulin aspart, human (day 428, for 83 days); insulin glargine (day 548, for 0 days); insulin glargine (day 675, for 27 days); insulin aspart, human (day 753, for 66 days); insulin glargine (day 753, for 0 days); insulin glargine (day 792, for 0 days); insulin glargine (day 855, for 0 days); insulin aspart, human (day 855, for 27 days); insulin glargine (day 918, for 0 days); insulin aspart, human (day 963, for 82 days); insulin glargine (day 988, for 30 days); insulin glargine (day 1141, for 0 days); insulin glargine (day 1207, for 0 days); insulin glargine (day 1239, for 0 days); insulin aspart, human (day 1239, for 83 days); insulin glargine (day 1295, for 0 days); insulin glargine (day 1354, for 0 days); insulin aspart, human (day 1354, for 118 days); insulin glargine (day 1404, for 0 days); insulin glargine (day 1445, for 0 days); insulin glargine (day 1488, for 0 days); insulin aspart, human (day 1530, for 298 days); insulin glargine (day 1530, for 0 days); insulin glargine (day 1591, for 0 days); insulin glargine (day 1628, for 0 days); insulin glargine (day 1680, for 22 days); insulin glargine (day 1743, for 51 days); insulin glargine (day 1828, for 0 days); insulin aspart, human (day 1876, for 0 days); insulin glargine (day 1876, for 0 days); insulin aspart, human (day 1926, for 0 days); insulin glargine (day 1926, for 0 days); insulin aspart, human (day 1962, for 0 days); insulin glargine (day 1962, for 0 days); insulin aspart, human (day 2011, for 23 days); insulin glargine (day 2011, for 21 days); insulin aspart, human (day 2074, for 28 days); insulin glargine (day 2074, for 28 days); insulin glargine (day 2139, for 0 days); insulin aspart, human (day 2139, for 0 days); insulin glargine (day 2171, for 0 days); insulin aspart, human (day 2171, for 0 days); insulin glargine (day 2202, for 0 days); insulin glargine (day 2233, for 1 days); insulin glargine (day 2276, for 112 days); insulin aspart, human (day 2276, for 57 days); insulin aspart, human (day 2387, for 0 days); insulin aspart, human (day 2424, for 0 days); insulin glargine (day 2424, for 0 days); insulin glargine (day 2465, for 0 days); insulin aspart, human (day 2465, for 0 days); insulin aspart, human (day 2507, for 0 days); insulin glargine (day 2507, for 0 days); insulin glargine (day 2545, for 0 days); insulin aspart, human (day 2545, for 0 days); insulin aspart, human (day 2576, for 29 days); insulin glargine (day 2576, for 7 days);</t>
  </si>
  <si>
    <t>Mixed anxiety and depressive disorder (day 1530); Type 1 diabetes mellitus (day 637)</t>
  </si>
  <si>
    <t>-2965 days - 2738 days</t>
  </si>
  <si>
    <t>insulin degludec (day 7, for 20 days); insulin aspart, human (day 7, for 20 days); insulin degludec (day 96, for 0 days); insulin aspart, human (day 96, for 0 days); insulin aspart, human (day 166, for 30 days); insulin degludec (day 195, for 0 days); insulin aspart, human (day 232, for 8 days); insulin degludec (day 232, for 8 days); insulin degludec (day 271, for 0 days); insulin aspart, human (day 271, for 94 days); insulin degludec (day 327, for 0 days);</t>
  </si>
  <si>
    <t>-6397 days - 478 days</t>
  </si>
  <si>
    <t>insulin aspart, human (day 13, for 3428 days);</t>
  </si>
  <si>
    <t>-3543 days - 3451 days</t>
  </si>
  <si>
    <t>insulin lispro (day 1, for 27 days); insulin lispro (day 82, for 27 days); insulin lispro (day 153, for 27 days); insulin lispro (day 251, for 27 days); insulin lispro (day 356, for 27 days); insulin lispro (day 441, for 27 days); insulin lispro (day 585, for 27 days); insulin lispro (day 694, for 139 days); insulin lispro (day 876, for 27 days); insulin lispro (day 944, for 27 days); insulin glargine (day 985, for 117 days); insulin lispro (day 1002, for 275 days); insulin glargine (day 1145, for 27 days); insulin glargine (day 1219, for 58 days); insulin lispro (day 1308, for 182 days); insulin glargine (day 1392, for 0 days); insulin glargine (day 1441, for 22 days); insulin lispro (day 1524, for 565 days); insulin glargine (day 1524, for 28 days); insulin glargine (day 1636, for 0 days); insulin glargine (day 1709, for 0 days); insulin glargine (day 1748, for 23 days); metformin (day 1834, for 136 days); insulin glargine (day 1853, for 0 days); insulin glargine (day 1909, for 0 days); insulin glargine (day 1943, for 0 days); metformin (day 2022, for 67 days); insulin glargine (day 2034, for 0 days);</t>
  </si>
  <si>
    <t>Depressive disorder (day 2022); Diabetes mellitus (day 1225); Nonproliferative retinopathy of left eye due to diabetes mellitus (day 1685)</t>
  </si>
  <si>
    <t>-7836 days - 2083 days</t>
  </si>
  <si>
    <t>insulin, regular, human (day 5, for 97 days); insulin aspart, human (day 5, for 0 days); insulin aspart, human (day 93, for 27 days); insulin, regular, human (day 258, for 27 days); insulin aspart, human (day 258, for 37 days); insulin, regular, human (day 322, for 27 days); insulin aspart, human (day 364, for 61 days); insulin, regular, human (day 422, for 81 days); insulin aspart, human (day 511, for 27 days); insulin, regular, human (day 580, for 27 days); insulin aspart, human (day 692, for 112 days); insulin, regular, human (day 692, for 27 days); insulin, regular, human (day 777, for 27 days); insulin, regular, human (day 841, for 27 days); insulin aspart, human (day 841, for 27 days); insulin, regular, human (day 936, for 27 days); insulin aspart, human (day 936, for 27 days); insulin glargine (day 961, for 27 days); insulin aspart, human (day 999, for 491 days); insulin glargine (day 1062, for 27 days); insulin glargine (day 1155, for 27 days); insulin glargine (day 1213, for 129 days); insulin glargine (day 1406, for 84 days); insulin aspart, human (day 1574, for 97 days); insulin glargine (day 1574, for 27 days); insulin glargine (day 1644, for 27 days); insulin aspart, human (day 1707, for 113 days); insulin glargine (day 1707, for 113 days); insulin glargine (day 1888, for 65 days); insulin aspart, human (day 1888, for 87 days); insulin aspart, human (day 2037, for 27 days); insulin aspart, human (day 2123, for 79 days); insulin aspart, human (day 2240, for 55 days); insulin aspart, human (day 2351, for 464 days); insulin aspart, human (day 2861, for 26 days); insulin aspart, human (day 2925, for 3 days); insulin aspart, human (day 2968, for 194 days); insulin aspart, human (day 3197, for 3 days); insulin aspart, human (day 3240, for 3 days); insulin aspart, human (day 3281, for 3 days); insulin aspart, human (day 3324, for 3 days); insulin aspart, human (day 3369, for 36 days); insulin aspart, human (day 3457, for 157 days); insulin aspart, human (day 3654, for 3 days); insulin aspart, human (day 3702, for 47 days); insulin aspart, human (day 3838, for 3 days); insulin aspart, human (day 3912, for 27 days); insulin aspart, human (day 3974, for 3 days); insulin aspart, human (day 4032, for 86 days); insulin aspart, human (day 4160, for 3 days); insulin aspart, human (day 4200, for 3 days); insulin aspart, human (day 4283, for 3 days); insulin aspart, human (day 4356, for 3 days); insulin aspart, human (day 4422, for 52 days); insulin aspart, human (day 4528, for 3 days); insulin aspart, human (day 4564, for 3 days); insulin aspart, human (day 4613, for 3 days); insulin aspart, human (day 4669, for 3 days); insulin aspart, human (day 4724, for 3 days); insulin aspart, human (day 4760, for 3 days); insulin aspart, human (day 4802, for 66 days); insulin aspart, human (day 4986, for 3 days); insulin aspart, human (day 5041, for 3 days); insulin aspart, human (day 5091, for 51 days); insulin aspart, human (day 5203, for 57 days); insulin aspart, human (day 5305, for 110 days);</t>
  </si>
  <si>
    <t>Depressive disorder (day 3611); Ketoacidosis due to type 1 diabetes mellitus (day 3149); Nonproliferative retinopathy of left eye due to diabetes mellitus (day 1262, 1968, 4751, 4852); Nonproliferative retinopathy of right eye due to diabetes mellitus (day 4299, 4751, 4852)</t>
  </si>
  <si>
    <t>-3233 days - 5447 days</t>
  </si>
  <si>
    <t>insulin aspart, human (day 0, for 37 days); insulin aspart, human (day 70, for 14 days); insulin aspart, human (day 128, for 21 days); insulin aspart, human (day 181, for 0 days); insulin aspart, human (day 213, for 0 days); insulin aspart, human (day 269, for 0 days); insulin aspart, human (day 321, for 0 days); insulin aspart, human (day 359, for 15 days); insulin aspart, human (day 666, for 0 days); insulin aspart, human (day 700, for 0 days); insulin aspart, human (day 860, for 0 days); insulin aspart, human (day 969, for 28 days); insulin aspart, human (day 1154, for 29 days); insulin aspart, human (day 1505, for 29 days); insulin aspart, human (day 1711, for 29 days); insulin aspart, human (day 1948, for 29 days); insulin aspart, human (day 2142, for 29 days); insulin aspart, human (day 2354, for 29 days); insulin aspart, human (day 2597, for 29 days); insulin glargine (day 2676, for 47 days); insulin glargine (day 2794, for 0 days); insulin glargine (day 2841, for 23 days); insulin aspart, human (day 2841, for 29 days); insulin glargine (day 2898, for 49 days); insulin glargine (day 2998, for 0 days); insulin aspart, human (day 2998, for 29 days); insulin aspart, human (day 3069, for 29 days); insulin glargine (day 3069, for 0 days); insulin glargine (day 3142, for 30 days); insulin glargine (day 3205, for 0 days); insulin glargine (day 3237, for 20 days); insulin glargine (day 3292, for 0 days); insulin glargine (day 3332, for 2 days); insulin glargine (day 3373, for 2 days); insulin aspart, human (day 3373, for 29 days); insulin glargine (day 3447, for 2 days); insulin glargine (day 3500, for 2 days); insulin glargine (day 3549, for 2 days); insulin aspart, human (day 3550, for 29 days); insulin glargine (day 3625, for 2 days); insulin glargine (day 3705, for 2 days); insulin glargine (day 3767, for 2 days); insulin glargine (day 3807, for 31 days); insulin aspart, human (day 3844, for 89 days); insulin glargine (day 3870, for 4 days); insulin aspart, human (day 4020, for 3 days); insulin aspart, human (day 4055, for 3 days); insulin aspart, human (day 4130, for 3 days); insulin aspart, human (day 4202, for 3 days); insulin aspart, human (day 4249, for 3 days); insulin aspart, human (day 4284, for 3 days); insulin aspart, human (day 4321, for 3 days); insulin aspart, human (day 4392, for 3 days);</t>
  </si>
  <si>
    <t>-3400 days - 4459 days</t>
  </si>
  <si>
    <t>insulin aspart, human (day 0, for 27 days);</t>
  </si>
  <si>
    <t>Steroid-induced diabetes (day -64)</t>
  </si>
  <si>
    <t>Autoimmune hepatitis (day -61)</t>
  </si>
  <si>
    <t>-2926 days - 3431 days</t>
  </si>
  <si>
    <t>insulin aspart, human (day 2, for 27 days); insulin aspart, human (day 61, for 815 days); insulin aspart, human (day 929, for 1742 days);</t>
  </si>
  <si>
    <t>-4300 days - 2667 days</t>
  </si>
  <si>
    <t>insulin aspart, human (day 18, for 0 days); insulin glargine (day 18, for 27 days); insulin glargine (day 101, for 61 days); insulin aspart, human (day 101, for 0 days); insulin aspart, human (day 135, for 0 days); insulin glargine (day 226, for 27 days); insulin glargine (day 291, for 27 days); insulin aspart, human (day 291, for 0 days); insulin aspart, human (day 443, for 0 days); insulin glargine (day 472, for 27 days); insulin aspart, human (day 603, for 0 days); insulin glargine (day 632, for 27 days); insulin glargine (day 735, for 27 days); insulin aspart, human (day 735, for 0 days); insulin aspart, human (day 822, for 0 days); insulin glargine (day 822, for 27 days); insulin glargine (day 925, for 27 days); insulin aspart, human (day 925, for 0 days); insulin aspart, human (day 1017, for 0 days); insulin glargine (day 1017, for 27 days); insulin aspart, human (day 1100, for 0 days); insulin glargine (day 1100, for 27 days); insulin glargine (day 1173, for 27 days); insulin aspart, human (day 1173, for 0 days); insulin aspart, human (day 1246, for 18 days); insulin glargine (day 1246, for 45 days); insulin aspart, human (day 1402, for 0 days); insulin glargine (day 1402, for 27 days); insulin glargine (day 1473, for 27 days); insulin aspart, human (day 1473, for 0 days); insulin aspart, human (day 1537, for 0 days); insulin glargine (day 1556, for 127 days); insulin aspart, human (day 1584, for 0 days); insulin aspart, human (day 1656, for 0 days); insulin aspart, human (day 1753, for 0 days); insulin glargine (day 1753, for 27 days); insulin glargine (day 1821, for 0 days); insulin aspart, human (day 1821, for 0 days); insulin glargine (day 1884, for 0 days); insulin aspart, human (day 1928, for 0 days); insulin glargine (day 1963, for 0 days); insulin aspart, human (day 2003, for 0 days); insulin aspart, human (day 2083, for 0 days); insulin glargine (day 2102, for 14 days); insulin aspart, human (day 2171, for 0 days); insulin glargine (day 2247, for 0 days); insulin aspart, human (day 2256, for 0 days); insulin aspart, human (day 2306, for 0 days); insulin glargine (day 2327, for 0 days); insulin aspart, human (day 2390, for 0 days); insulin glargine (day 2390, for 0 days); insulin glargine (day 2464, for 0 days); insulin aspart, human (day 2528, for 0 days); insulin glargine (day 2528, for 0 days); insulin aspart, human (day 2601, for 0 days); insulin glargine (day 2601, for 0 days); insulin glargine (day 2643, for 0 days); insulin aspart, human (day 2643, for 0 days); insulin glargine (day 2733, for 0 days); insulin aspart, human (day 2758, for 0 days); insulin glargine (day 2804, for 0 days); insulin aspart, human (day 2829, for 0 days); insulin glargine (day 2859, for 0 days); insulin aspart, human (day 2886, for 0 days); insulin aspart, human (day 2941, for 0 days); insulin glargine (day 2941, for 0 days); insulin aspart, human (day 3006, for 0 days); insulin glargine (day 3006, for 0 days); insulin glargine (day 3067, for 0 days); insulin aspart, human (day 3090, for 0 days); insulin glargine (day 3144, for 0 days); insulin aspart, human (day 3159, for 0 days); insulin aspart, human (day 3208, for 0 days); insulin glargine (day 3208, for 0 days); insulin glargine (day 3283, for 0 days); insulin aspart, human (day 3306, for 0 days); insulin glargine (day 3347, for 0 days); insulin aspart, human (day 3377, for 0 days); insulin glargine (day 3424, for 0 days); insulin aspart, human (day 3444, for 0 days); insulin glargine (day 3483, for 0 days); insulin aspart, human (day 3515, for 0 days);</t>
  </si>
  <si>
    <t>-3867 days - 3532 days</t>
  </si>
  <si>
    <t>No Case</t>
  </si>
  <si>
    <t>-862 days - 447 days</t>
  </si>
  <si>
    <t>insulin, regular, human (day 1076, for 31 days); insulin, regular, human (day 1174, for 27 days); insulin, regular, human (day 1286, for 27 days); insulin, regular, human (day 1364, for 27 days); insulin, regular, human (day 1463, for 27 days); insulin, regular, human (day 1538, for 76 days); insulin, regular, human (day 1692, for 27 days); insulin, regular, human (day 1804, for 27 days); insulin, regular, human (day 1910, for 27 days); insulin, regular, human (day 1997, for 27 days); insulin, regular, human (day 2101, for 27 days); insulin, regular, human (day 2191, for 27 days); insulin, regular, human (day 2252, for 27 days); insulin, regular, human (day 2346, for 27 days); insulin, regular, human (day 2416, for 27 days); insulin aspart, human (day 2427, for 79 days); insulin aspart, human (day 2547, for 27 days); insulin aspart, human (day 2616, for 27 days); insulin aspart, human (day 2679, for 76 days); insulin aspart, human (day 2799, for 27 days); insulin aspart, human (day 2868, for 27 days); insulin aspart, human (day 2926, for 27 days); insulin aspart, human (day 2991, for 27 days); insulin aspart, human (day 3054, for 27 days); insulin aspart, human (day 3114, for 78 days); insulin aspart, human (day 3290, for 83 days); insulin aspart, human (day 3411, for 79 days); insulin aspart, human (day 3530, for 27 days); insulin aspart, human (day 3596, for 27 days); insulin aspart, human (day 3654, for 27 days); insulin aspart, human (day 3719, for 27 days); insulin aspart, human (day 3778, for 27 days); insulin aspart, human (day 3837, for 27 days); insulin aspart, human (day 3906, for 27 days); insulin aspart, human (day 3968, for 27 days); insulin aspart, human (day 4030, for 84 days); insulin aspart, human (day 4149, for 27 days); insulin aspart, human (day 4208, for 27 days); insulin aspart, human (day 4268, for 127 days); insulin aspart, human (day 4437, for 27 days); insulin aspart, human (day 4555, for 27 days); insulin aspart, human (day 4622, for 27 days); insulin aspart, human (day 4689, for 27 days); insulin aspart, human (day 4760, for 27 days); insulin aspart, human (day 4842, for 27 days); insulin aspart, human (day 4907, for 27 days); insulin aspart, human (day 4977, for 27 days); insulin aspart, human (day 5063, for 27 days); insulin aspart, human (day 5143, for 27 days); insulin aspart, human (day 5213, for 27 days); insulin aspart, human (day 5279, for 27 days); insulin aspart, human (day 5361, for 27 days); insulin aspart, human (day 5434, for 27 days); insulin aspart, human (day 5494, for 27 days); insulin aspart, human (day 5585, for 27 days); insulin aspart, human (day 5683, for 27 days); insulin aspart, human (day 5741, for 84 days); insulin aspart, human (day 5892, for 27 days); insulin aspart, human (day 5971, for 83 days); insulin aspart, human (day 6109, for 27 days); insulin aspart, human (day 6189, for 82 days); insulin aspart, human (day 6314, for 83 days);</t>
  </si>
  <si>
    <t>Diabetes mellitus (day 4032); Persistent proteinuria due to type 1 diabetes mellitus (day 2844); Type 1 diabetes mellitus (day 2102)</t>
  </si>
  <si>
    <t>-373 days - 6403 days</t>
  </si>
  <si>
    <t>insulin, regular, human (day 53, for 2 days); insulin aspart, human (day 83, for 27 days); insulin aspart, human (day 173, for 27 days); insulin, regular, human (day 246, for 2 days); insulin aspart, human (day 361, for 0 days); insulin aspart, human (day 445, for 0 days); insulin aspart, human (day 481, for 0 days); insulin aspart, human (day 552, for 27 days); insulin aspart, human (day 624, for 27 days); insulin aspart, human (day 713, for 0 days); insulin aspart, human (day 795, for 97 days); insulin aspart, human (day 931, for 75 days); insulin aspart, human (day 1055, for 76 days); insulin aspart, human (day 1182, for 278 days); insulin aspart, human (day 1496, for 229 days); insulin aspart, human (day 1768, for 65 days);</t>
  </si>
  <si>
    <t>-1045 days - 1862 days</t>
  </si>
  <si>
    <t>-721 days - 3490 days</t>
  </si>
  <si>
    <t>insulin glargine (day 0, for 0 days); insulin aspart, human (day 0, for 0 days); insulin glargine (day 45, for 0 days); insulin aspart, human (day 45, for 0 days); insulin aspart, human (day 356, for 0 days); insulin aspart, human (day 389, for 0 days); insulin aspart, human (day 430, for 28 days); insulin glargine (day 473, for 0 days); insulin aspart, human (day 502, for 0 days); insulin glargine (day 535, for 0 days); insulin aspart, human (day 535, for 84 days); insulin glargine (day 619, for 0 days); insulin aspart, human (day 658, for 55 days); insulin glargine (day 662, for 0 days); insulin glargine (day 713, for 0 days); insulin aspart, human (day 753, for 0 days); insulin glargine (day 774, for 0 days); insulin aspart, human (day 788, for 78 days); insulin glargine (day 836, for 30 days); insulin glargine (day 903, for 0 days); insulin aspart, human (day 903, for 0 days); insulin aspart, human (day 934, for 67 days); insulin glargine (day 959, for 0 days); insulin glargine (day 998, for 0 days); insulin aspart, human (day 1035, for 0 days); insulin glargine (day 1043, for 0 days); insulin glargine (day 1095, for 0 days); insulin aspart, human (day 1095, for 0 days); insulin aspart, human (day 1127, for 77 days); insulin glargine (day 1148, for 21 days); insulin glargine (day 1235, for 39 days); insulin aspart, human (day 1235, for 63 days); insulin glargine (day 1312, for 66 days); insulin aspart, human (day 1333, for 67 days); insulin aspart, human (day 1431, for 105 days); insulin glargine (day 1431, for 105 days); insulin aspart, human (day 1571, for 35 days); insulin glargine (day 1571, for 35 days); insulin glargine (day 1659, for 0 days); insulin aspart, human (day 1659, for 0 days); insulin aspart, human (day 1697, for 42 days); insulin glargine (day 1697, for 42 days); insulin glargine (day 1782, for 17 days); insulin aspart, human (day 1782, for 17 days); insulin aspart, human (day 1866, for 0 days); insulin glargine (day 1866, for 0 days); insulin glargine (day 1928, for 80 days); insulin aspart, human (day 1928, for 80 days); insulin aspart, human (day 2056, for 20 days); insulin glargine (day 2056, for 20 days); insulin aspart, human (day 2120, for 0 days); insulin glargine (day 2120, for 0 days); insulin aspart, human (day 2183, for 0 days); insulin glargine (day 2183, for 0 days); insulin glargine (day 2264, for 21 days); insulin aspart, human (day 2264, for 21 days); insulin aspart, human (day 2317, for 0 days); insulin glargine (day 2317, for 0 days); insulin glargine (day 2593, for 0 days); insulin aspart, human (day 2593, for 0 days); insulin glargine (day 2667, for 0 days); insulin aspart, human (day 2667, for 0 days); insulin aspart, human (day 2770, for 0 days); insulin aspart, human (day 2806, for 0 days);</t>
  </si>
  <si>
    <t>-5181 days - 2942 days</t>
  </si>
  <si>
    <t>insulin aspart, human (day 3, for 37 days); insulin aspart, human (day 258, for 27 days); insulin aspart, human (day 344, for 151 days);</t>
  </si>
  <si>
    <t>-2681 days - 483 days</t>
  </si>
  <si>
    <t>insulin aspart, human (day 7, for 27 days); insulin glargine (day 64, for 0 days); insulin aspart, human (day 75, for 27 days); insulin glargine (day 103, for 0 days); insulin aspart, human (day 135, for 548 days); insulin glargine (day 467, for 0 days); insulin aspart, human (day 730, for 1375 days); insulin glargine (day 778, for 0 days); insulin glargine (day 881, for 0 days); insulin glargine (day 1153, for 0 days); insulin glargine (day 1289, for 0 days); insulin glargine (day 1514, for 0 days); insulin glargine (day 1881, for 0 days); insulin aspart, human (day 2140, for 80 days); insulin glargine (day 2168, for 0 days); insulin glargine (day 2228, for 0 days); insulin aspart, human (day 2267, for 232 days); insulin aspart, human (day 2561, for 503 days); insulin glargine (day 3050, for 0 days); insulin aspart, human (day 3116, for 99 days); insulin aspart, human (day 3254, for 3 days); insulin aspart, human (day 3305, for 3 days); insulin aspart, human (day 3346, for 3 days); insulin aspart, human (day 3387, for 0 days); insulin aspart, human (day 3424, for 42 days); insulin aspart, human (day 3506, for 18 days); insulin aspart, human (day 3568, for 3 days); insulin aspart, human (day 3611, for 3 days); insulin aspart, human (day 3667, for 39 days); insulin aspart, human (day 3737, for 104 days);</t>
  </si>
  <si>
    <t>Nonproliferative retinopathy of left eye due to diabetes mellitus (day 1909, 2798, 3771)</t>
  </si>
  <si>
    <t>-4109 days - 3892 days</t>
  </si>
  <si>
    <t>insulin aspart, human (day 7, for 0 days); insulin aspart, human (day 41, for 0 days); insulin aspart, human (day 154, for 22 days); insulin aspart, human (day 316, for 0 days); insulin aspart, human (day 479, for 0 days); insulin aspart, human (day 800, for 0 days); insulin aspart, human (day 846, for 0 days); insulin aspart, human (day 1123, for 0 days); insulin aspart, human (day 1178, for 0 days); insulin aspart, human (day 1508, for 0 days); insulin aspart, human (day 1576, for 0 days); insulin aspart, human (day 1646, for 0 days); insulin aspart, human (day 1704, for 0 days); insulin aspart, human (day 1759, for 0 days); insulin aspart, human (day 1826, for 0 days); insulin aspart, human (day 1884, for 0 days); insulin aspart, human (day 1940, for 0 days); insulin aspart, human (day 1989, for 0 days); insulin aspart, human (day 2037, for 0 days); insulin aspart, human (day 2073, for 0 days); insulin aspart, human (day 2192, for 0 days); insulin aspart, human (day 2226, for 0 days); insulin aspart, human (day 2276, for 26 days); insulin aspart, human (day 2387, for 0 days); insulin aspart, human (day 2534, for 22 days); insulin aspart, human (day 2589, for 0 days); insulin aspart, human (day 2661, for 0 days); insulin aspart, human (day 2701, for 0 days); insulin degludec (day 2703, for 0 days); insulin degludec (day 2740, for 0 days); insulin degludec (day 2778, for 0 days); insulin aspart, human (day 2778, for 0 days); insulin degludec (day 2810, for 0 days); insulin aspart, human (day 2810, for 0 days); insulin degludec (day 2856, for 0 days); insulin aspart, human (day 2856, for 0 days); insulin aspart, human (day 2907, for 0 days); insulin degludec (day 2907, for 0 days); insulin aspart, human (day 2963, for 0 days); insulin degludec (day 2963, for 0 days); insulin aspart, human (day 2996, for 0 days); insulin degludec (day 2996, for 0 days);</t>
  </si>
  <si>
    <t>Diabetes mellitus (day 2534)</t>
  </si>
  <si>
    <t>-2750 days - 3041 days</t>
  </si>
  <si>
    <t>insulin glargine (day 0, for 390 days); insulin aspart, human (day 0, for 390 days); insulin glargine (day 432, for 27 days); insulin aspart, human (day 432, for 27 days); insulin glargine (day 496, for 27 days); insulin aspart, human (day 496, for 236 days); insulin glargine (day 596, for 136 days); insulin glargine (day 784, for 0 days); insulin aspart, human (day 784, for 287 days); insulin glargine (day 826, for 0 days); insulin glargine (day 882, for 0 days); insulin glargine (day 926, for 0 days); insulin glargine (day 960, for 0 days); insulin glargine (day 993, for 51 days); insulin glargine (day 1112, for 0 days); insulin aspart, human (day 1112, for 27 days); insulin glargine (day 1174, for 0 days); insulin aspart, human (day 1174, for 125 days); insulin glargine (day 1223, for 0 days); insulin glargine (day 1272, for 0 days); insulin glargine (day 1426, for 0 days); insulin aspart, human (day 1426, for 84 days); insulin glargine (day 1483, for 0 days); insulin aspart, human (day 1542, for 27 days); insulin glargine (day 1542, for 0 days); insulin glargine (day 1609, for 0 days); insulin aspart, human (day 1609, for 211 days); insulin glargine (day 1665, for 0 days); insulin glargine (day 1708, for 0 days); insulin glargine (day 1749, for 0 days); insulin glargine (day 1793, for 0 days); insulin glargine (day 1878, for 0 days); insulin aspart, human (day 1878, for 27 days); insulin glargine (day 1972, for 0 days); insulin aspart, human (day 2003, for 27 days); insulin glargine (day 2003, for 0 days); insulin glargine (day 2147, for 0 days); insulin aspart, human (day 2147, for 84 days); insulin glargine (day 2204, for 0 days); insulin glargine (day 2266, for 0 days); insulin aspart, human (day 2266, for 181 days); insulin glargine (day 2323, for 0 days); insulin glargine (day 2365, for 0 days); insulin glargine (day 2420, for 0 days); insulin aspart, human (day 2484, for 27 days); insulin glargine (day 2484, for 0 days); insulin glargine (day 2548, for 0 days); insulin aspart, human (day 2548, for 165 days); insulin glargine (day 2603, for 0 days); insulin glargine (day 2653, for 0 days); insulin glargine (day 2686, for 0 days); insulin glargine (day 2750, for 0 days); insulin aspart, human (day 2750, for 258 days); insulin glargine (day 2807, for 0 days); insulin glargine (day 2856, for 0 days); insulin glargine (day 2890, for 0 days); insulin glargine (day 2940, for 0 days); insulin glargine (day 2981, for 0 days); insulin glargine (day 3051, for 0 days); insulin aspart, human (day 3051, for 83 days); insulin glargine (day 3107, for 0 days); insulin glargine (day 3169, for 0 days); insulin aspart, human (day 3169, for 84 days); insulin glargine (day 3226, for 0 days); insulin degludec (day 3305, for 26 days); insulin aspart, human (day 3331, for 27 days); insulin degludec (day 3382, for 0 days); insulin degludec (day 3438, for 0 days); insulin aspart, human (day 3438, for 73 days); insulin degludec (day 3484, for 0 days); insulin degludec (day 3527, for 0 days); insulin degludec (day 3583, for 49 days); insulin aspart, human (day 3583, for 124 days); insulin degludec (day 3680, for 0 days); insulin aspart, human (day 3778, for 76 days); insulin degludec (day 3778, for 49 days); insulin aspart, human (day 3934, for 119 days); insulin degludec (day 3934, for 0 days); insulin degludec (day 3991, for 35 days); insulin degludec (day 4088, for 28 days); insulin aspart, human (day 4088, for 111 days); insulin degludec (day 4172, for 0 days); insulin degludec (day 4235, for 0 days); insulin aspart, human (day 4235, for 27 days); insulin degludec (day 4296, for 0 days); insulin aspart, human (day 4296, for 83 days); insulin degludec (day 4352, for 29 days); insulin degludec (day 4612, for 0 days); insulin aspart, human (day 4612, for 27 days); insulin aspart, human (day 4670, for 27 days); insulin degludec (day 4670, for 0 days); insulin aspart, human (day 4746, for 71 days); insulin degludec (day 4746, for 0 days); insulin degludec (day 4781, for 36 days); insulin degludec (day 4864, for 100 days); insulin aspart, human (day 4864, for 100 days); insulin degludec (day 4998, for 118 days); insulin aspart, human (day 4998, for 118 days); insulin degludec (day 5153, for 0 days); insulin aspart, human (day 5153, for 0 days); insulin degludec (day 5189, for 48 days); insulin aspart, human (day 5189, for 48 days); insulin aspart, human (day 5277, for 59 days); insulin degludec (day 5277, for 59 days); insulin aspart, human (day 5369, for 156 days); insulin degludec (day 5369, for 156 days);</t>
  </si>
  <si>
    <t>Diabetic ketoacidosis (day 682, 3147); Nonproliferative retinopathy of left eye due to diabetes mellitus (day 4444); Nonproliferative retinopathy of right eye due to diabetes mellitus (day 1603, 4822, 5216)</t>
  </si>
  <si>
    <t>-2781 days - 5542 days</t>
  </si>
  <si>
    <t>insulin aspart, human (day 5, for 19 days); insulin aspart, human (day 79, for 0 days); insulin aspart, human (day 202, for 0 days); insulin aspart, human (day 240, for 0 days); insulin aspart, human (day 311, for 30 days); insulin aspart, human (day 446, for 0 days);</t>
  </si>
  <si>
    <t>-7096 days - 458 days</t>
  </si>
  <si>
    <t>insulin, regular, human (day 342, for 83 days); insulin, regular, human (day 517, for 27 days); insulin, regular, human (day 608, for 27 days);</t>
  </si>
  <si>
    <t>Disorder of kidney due to diabetes mellitus (day 252)</t>
  </si>
  <si>
    <t>insulin, regular, human (day -714, for 304 days); insulin, regular, human (day -374, for 315 days); insulin, regular, human (day -8, for 266 days);</t>
  </si>
  <si>
    <t>-741 days - 720 days</t>
  </si>
  <si>
    <t>insulin lispro (day 0, for 0 days); insulin aspart, human (day 52, for 28 days); insulin degludec (day 52, for 28 days); insulin degludec (day 111, for 0 days); insulin aspart, human (day 111, for 0 days); insulin aspart, human (day 181, for 0 days); insulin aspart, human (day 226, for 113 days); insulin degludec (day 226, for 57 days); insulin degludec (day 339, for 0 days); insulin aspart, human (day 409, for 0 days); insulin aspart, human (day 475, for 0 days); insulin degludec (day 517, for 30 days); insulin aspart, human (day 517, for 30 days); insulin aspart, human (day 722, for 0 days); insulin aspart, human (day 778, for 0 days); insulin aspart, human (day 918, for 0 days); insulin aspart, human (day 972, for 0 days); insulin aspart, human (day 1084, for 0 days); insulin degludec (day 1112, for 0 days); insulin degludec (day 1196, for 0 days); insulin aspart, human (day 1196, for 0 days); insulin aspart, human (day 1248, for 0 days); insulin aspart, human (day 1304, for 0 days); insulin degludec (day 1304, for 0 days); insulin degludec (day 1360, for 28 days); insulin aspart, human (day 1360, for 28 days); insulin aspart, human (day 1444, for 0 days); insulin degludec (day 1444, for 0 days); insulin aspart, human (day 1597, for 281 days); insulin degludec (day 1597, for 281 days); insulin aspart, human (day 1931, for 28 days); insulin degludec (day 1931, for 56 days); insulin aspart, human (day 2015, for 80 days); insulin degludec (day 2043, for 52 days); insulin degludec (day 2164, for 58 days); insulin aspart, human (day 2169, for 25 days); insulin aspart, human (day 2247, for 56 days); insulin degludec (day 2274, for 29 days);</t>
  </si>
  <si>
    <t>Herpes zoster (day -6191)</t>
  </si>
  <si>
    <t>-10893 days - 2316 days</t>
  </si>
  <si>
    <t>insulin aspart, human (day 35, for 27 days); insulin aspart, human (day 103, for 27 days); insulin aspart, human (day 264, for 78 days); insulin aspart, human (day 414, for 27 days); insulin aspart, human (day 945, for 64 days); insulin aspart, human (day 1041, for 27 days); insulin aspart, human (day 1307, for 72 days); insulin, regular, human (day 1618, for 1 days); insulin, regular, human (day 1664, for 1 days); insulin, regular, human (day 1751, for 1 days); insulin aspart, human (day 1751, for 27 days); insulin, regular, human (day 1799, for 1 days); insulin aspart, human (day 1923, for 27 days); insulin aspart, human (day 2024, for 27 days); insulin, regular, human (day 2024, for 1 days); insulin, regular, human (day 2087, for 1 days); insulin glulisine, human (day 2227, for 6 days); insulin glulisine, human (day 2375, for 6 days); insulin aspart, human (day 2476, for 161 days); insulin, regular, human (day 2498, for 1 days); insulin aspart, human (day 2683, for 110 days); insulin glargine (day 2785, for 0 days);</t>
  </si>
  <si>
    <t>-807 days - 2793 days</t>
  </si>
  <si>
    <t>metformin (day 980, for 27 days); insulin aspart, human (day 1105, for 27 days); insulin aspart, human (day 1194, for 27 days); insulin aspart, human (day 1257, for 27 days); insulin aspart, human (day 1323, for 27 days); insulin aspart, human (day 1384, for 225 days); insulin aspart, human (day 1656, for 0 days); insulin aspart, human (day 1699, for 0 days); insulin aspart, human (day 1735, for 0 days); insulin aspart, human (day 1768, for 0 days); insulin aspart, human (day 1803, for 0 days); insulin aspart, human (day 1847, for 0 days); insulin aspart, human (day 1881, for 0 days); insulin aspart, human (day 1929, for 0 days); insulin aspart, human (day 1965, for 0 days); insulin aspart, human (day 2013, for 29 days); insulin aspart, human (day 2091, for 30 days); insulin aspart, human (day 2161, for 20 days); insulin aspart, human (day 2217, for 0 days); insulin aspart, human (day 2259, for 0 days); insulin aspart, human (day 2296, for 0 days); insulin aspart, human (day 2330, for 0 days); insulin aspart, human (day 2363, for 0 days); insulin aspart, human (day 2406, for 0 days); insulin aspart, human (day 2442, for 55 days); insulin aspart, human (day 2540, for 7 days); insulin aspart, human (day 2582, for 0 days); insulin aspart, human (day 2624, for 0 days); insulin aspart, human (day 2664, for 0 days); insulin aspart, human (day 2706, for 14 days); insulin aspart, human (day 2765, for 0 days); insulin aspart, human (day 2799, for 0 days); insulin aspart, human (day 2833, for 23 days); insulin aspart, human (day 2897, for 0 days); insulin aspart, human (day 2931, for 76 days); insulin aspart, human (day 3051, for 0 days); insulin aspart, human (day 3084, for 24 days); insulin aspart, human (day 3140, for 100 days); insulin aspart, human (day 3288, for 0 days); insulin aspart, human (day 3321, for 29 days); insulin aspart, human (day 3386, for 0 days); insulin aspart, human (day 3419, for 42 days); insulin aspart, human (day 3511, for 24 days); insulin aspart, human (day 3567, for 16 days); insulin aspart, human (day 3615, for 29 days); insulin aspart, human (day 3680, for 0 days); insulin aspart, human (day 3723, for 27 days); insulin aspart, human (day 3791, for 28 days); insulin aspart, human (day 3855, for 0 days); insulin aspart, human (day 3889, for 30 days); insulin aspart, human (day 3982, for 19 days); insulin aspart, human (day 4046, for 0 days); insulin aspart, human (day 4080, for 0 days); insulin aspart, human (day 4114, for 27 days); insulin aspart, human (day 4185, for 27 days); insulin aspart, human (day 4256, for 0 days); insulin aspart, human (day 4291, for 48 days); insulin aspart, human (day 4375, for 0 days); insulin aspart, human (day 4409, for 0 days); insulin aspart, human (day 4450, for 0 days); insulin aspart, human (day 4494, for 26 days); insulin aspart, human (day 4553, for 0 days); insulin aspart, human (day 4590, for 0 days); insulin aspart, human (day 4624, for 83 days); insulin aspart, human (day 4750, for 27 days); insulin aspart, human (day 4812, for 0 days); insulin aspart, human (day 4843, for 0 days); insulin aspart, human (day 4884, for 12 days); insulin aspart, human (day 4938, for 0 days); insulin aspart, human (day 4969, for 75 days); insulin aspart, human (day 5079, for 0 days); insulin aspart, human (day 5113, for 0 days); insulin aspart, human (day 5148, for 53 days); insulin aspart, human (day 5241, for 0 days); insulin aspart, human (day 5276, for 58 days); insulin aspart, human (day 5368, for 21 days); insulin aspart, human (day 5449, for 29 days); insulin aspart, human (day 5516, for 0 days); insulin aspart, human (day 5548, for 58 days); insulin aspart, human (day 5647, for 0 days); insulin aspart, human (day 5682, for 57 days); insulin aspart, human (day 5778, for 0 days); insulin aspart, human (day 5815, for 0 days); insulin aspart, human (day 5864, for 0 days); insulin aspart, human (day 5904, for 0 days); insulin aspart, human (day 5940, for 0 days); insulin aspart, human (day 5976, for 0 days); insulin aspart, human (day 6016, for 0 days); insulin aspart, human (day 6052, for 0 days); insulin aspart, human (day 6087, for 0 days); insulin aspart, human (day 6121, for 0 days); insulin aspart, human (day 6165, for 47 days); insulin aspart, human (day 6268, for 0 days); insulin aspart, human (day 6307, for 24 days); insulin aspart, human (day 6382, for 0 days); insulin aspart, human (day 6417, for 28 days); insulin aspart, human (day 6480, for 26 days); insulin aspart, human (day 6548, for 29 days); insulin aspart, human (day 6613, for 0 days); insulin aspart, human (day 6648, for 55 days); insulin aspart, human (day 6739, for 0 days); insulin aspart, human (day 6779, for 0 days); insulin aspart, human (day 6815, for 55 days); insulin aspart, human (day 6905, for 0 days); insulin aspart, human (day 6944, for 0 days); insulin aspart, human (day 6975, for 56 days); insulin aspart, human (day 7066, for 0 days); insulin aspart, human (day 7102, for 139 days); insulin aspart, human (day 7290, for 225 days); insulin aspart, human (day 7571, for 29 days); insulin aspart, human (day 7648, for 156 days); insulin aspart, human (day 7846, for 77 days); insulin aspart, human (day 7983, for 112 days); insulin aspart, human (day 8148, for 0 days); insulin aspart, human (day 8180, for 0 days); insulin aspart, human (day 8214, for 0 days); insulin aspart, human (day 8264, for 52 days); insulin aspart, human (day 8350, for 29 days); insulin aspart, human (day 8410, for 29 days); insulin aspart, human (day 8473, for 44 days); insulin aspart, human (day 8571, for 0 days); insulin aspart, human (day 8606, for 56 days);</t>
  </si>
  <si>
    <t>Conversion to insulin (day 1097)</t>
  </si>
  <si>
    <t>Chronic kidney disease stage 3A (day 8503); Diabetes mellitus (day 189, 376, 980, 1019); Disorder of left macula due to diabetes mellitus (day 6093, 6179); Nonproliferative retinopathy of left eye due to diabetes mellitus (day 5170, 5725, 6093, 6179, 7117, 7504, 7889, 8277); Nonproliferative retinopathy of right eye due to diabetes mellitus (day 5170, 5372, 5725, 6093, 6179, 7117, 7504, 7889, 8277)</t>
  </si>
  <si>
    <t>Herpes zoster ophthalmicus (day -1579, -1430)</t>
  </si>
  <si>
    <t>-1590 days - 8662 days</t>
  </si>
  <si>
    <t>insulin, regular, human (day 4, for 628 days); insulin, regular, human (day 665, for 583 days); insulin aspart, human (day 1159, for 61 days); insulin glargine (day 1159, for 61 days); insulin glargine (day 1284, for 27 days); insulin aspart, human (day 1306, for 27 days); insulin, regular, human (day 1306, for 27 days); insulin aspart, human (day 1368, for 27 days); insulin glargine (day 1368, for 70 days); insulin, regular, human (day 1411, for 27 days); insulin, regular, human (day 1474, for 27 days); insulin aspart, human (day 1474, for 27 days); insulin glargine (day 1508, for 27 days); insulin aspart, human (day 1533, for 27 days); insulin, regular, human (day 1533, for 27 days); insulin aspart, human (day 1609, for 68 days); insulin, regular, human (day 1609, for 27 days); insulin glargine (day 1609, for 68 days); insulin, regular, human (day 1711, for 86 days); insulin aspart, human (day 1732, for 65 days); insulin glargine (day 1770, for 111 days); insulin, regular, human (day 1895, for 27 days); insulin aspart, human (day 1895, for 27 days); insulin, regular, human (day 1971, for 27 days); insulin glargine (day 1971, for 27 days); insulin aspart, human (day 1971, for 63 days); insulin, regular, human (day 2036, for 61 days); insulin glargine (day 2070, for 92 days); insulin aspart, human (day 2070, for 27 days); insulin aspart, human (day 2135, for 27 days); insulin, regular, human (day 2135, for 27 days); insulin aspart, human (day 2218, for 62 days); insulin glargine (day 2218, for 27 days); insulin, regular, human (day 2218, for 235 days); insulin glargine (day 2334, for 119 days); insulin aspart, human (day 2334, for 119 days); insulin glargine (day 2502, for 27 days); insulin, regular, human (day 2502, for 106 days); insulin aspart, human (day 2502, for 106 days); insulin, regular, human (day 2643, for 127 days); insulin aspart, human (day 2684, for 27 days); insulin glargine (day 2719, for 51 days); insulin aspart, human (day 2743, for 27 days);</t>
  </si>
  <si>
    <t>Diabetes mellitus (day 314); Diabetic ketoacidosis (day 2134); Type 1 diabetes mellitus (day 1666)</t>
  </si>
  <si>
    <t>-1520 days - 2785 days</t>
  </si>
  <si>
    <t>insulin, regular, human (day 6, for 408 days); insulin lispro (day 6, for 27 days); insulin lispro (day 163, for 27 days); insulin, regular, human (day 451, for 107 days); insulin lispro (day 485, for 27 days); insulin, regular, human (day 621, for 27 days); insulin, regular, human (day 697, for 27 days); insulin lispro (day 697, for 27 days); insulin aspart, human (day 733, for 27 days); insulin aspart, human (day 794, for 27 days); insulin aspart, human (day 893, for 27 days); insulin glargine (day 951, for 66 days); insulin glargine (day 1049, for 79 days); insulin aspart, human (day 1049, for 79 days); insulin aspart, human (day 1161, for 27 days); insulin glargine (day 1161, for 27 days); insulin glargine (day 1221, for 194 days); insulin aspart, human (day 1265, for 27 days); insulin aspart, human (day 1355, for 60 days); insulin glargine (day 1473, for 65 days); insulin aspart, human (day 1473, for 27 days); insulin glargine (day 1598, for 59 days); insulin aspart, human (day 1598, for 59 days); insulin aspart, human (day 1717, for 27 days); insulin glargine (day 1717, for 27 days); insulin glargine (day 1775, for 176 days); insulin aspart, human (day 1822, for 129 days); insulin glargine (day 1986, for 27 days); insulin aspart, human (day 1986, for 115 days); insulin glargine (day 2048, for 53 days); insulin aspart, human (day 2151, for 209 days); insulin glargine (day 2151, for 209 days); insulin aspart, human (day 2398, for 69 days); insulin glargine (day 2398, for 69 days); insulin aspart, human (day 2526, for 109 days); insulin glargine (day 2526, for 109 days); insulin aspart, human (day 2680, for 27 days); insulin glargine (day 2680, for 27 days); insulin aspart, human (day 2749, for 83 days); insulin glargine (day 2749, for 83 days); insulin aspart, human (day 2867, for 134 days); insulin glargine (day 2867, for 134 days); insulin aspart, human (day 3033, for 27 days); insulin glargine (day 3033, for 27 days); insulin glargine (day 3104, for 167 days); insulin aspart, human (day 3104, for 167 days); insulin glargine (day 3341, for 111 days); insulin aspart, human (day 3387, for 65 days); insulin glargine (day 3506, for 27 days); insulin aspart, human (day 3506, for 27 days); insulin aspart, human (day 3568, for 27 days); insulin glargine (day 3568, for 27 days); insulin glargine (day 3642, for 27 days); insulin aspart, human (day 3670, for 125 days); insulin glargine (day 3761, for 34 days); insulin glargine (day 3838, for 0 days); insulin aspart, human (day 3838, for 132 days); insulin glargine (day 3881, for 0 days); insulin glargine (day 3930, for 13 days); insulin aspart, human (day 4020, for 27 days); insulin glargine (day 4020, for 0 days); insulin aspart, human (day 4086, for 104 days); insulin glargine (day 4086, for 0 days); insulin glargine (day 4125, for 38 days); insulin glargine (day 4238, for 0 days); insulin aspart, human (day 4238, for 27 days); insulin aspart, human (day 4302, for 27 days); insulin glargine (day 4302, for 0 days); insulin aspart, human (day 4384, for 27 days); insulin glargine (day 4384, for 0 days); insulin aspart, human (day 4500, for 27 days); insulin glargine (day 4500, for 0 days);</t>
  </si>
  <si>
    <t>Diabetes mellitus (day 1714); Ketoacidotic coma due to type 1 diabetes mellitus (day 1909); Type 1 diabetes mellitus (day 104)</t>
  </si>
  <si>
    <t>Type 1 diabetes mellitus (EHR); Vulva sore (EHR);</t>
  </si>
  <si>
    <t>-2243 days - 4576 days</t>
  </si>
  <si>
    <t>insulin glargine (day 0, for 0 days); insulin aspart, human (day 0, for 0 days); insulin aspart, human (day 241, for 0 days); insulin glargine (day 241, for 0 days); insulin glargine (day 377, for 0 days); insulin aspart, human (day 377, for 0 days); insulin glargine (day 461, for 0 days); insulin aspart, human (day 461, for 0 days); insulin glargine (day 574, for 0 days); insulin aspart, human (day 574, for 0 days); insulin aspart, human (day 670, for 0 days); insulin glargine (day 670, for 0 days); insulin aspart, human (day 759, for 0 days); insulin glargine (day 759, for 0 days); insulin glargine (day 847, for 0 days); insulin aspart, human (day 847, for 0 days); insulin aspart, human (day 945, for 0 days); insulin glargine (day 945, for 0 days); insulin aspart, human (day 1053, for 0 days); insulin glargine (day 1053, for 0 days); insulin aspart, human (day 1124, for 0 days); insulin glargine (day 1124, for 0 days); insulin glargine (day 1231, for 0 days); insulin aspart, human (day 1231, for 0 days); insulin degludec (day 1316, for 0 days); insulin aspart, human (day 1316, for 0 days); insulin degludec (day 1392, for 0 days); insulin aspart, human (day 1407, for 0 days); insulin degludec (day 1463, for 0 days); insulin aspart, human (day 1463, for 0 days); insulin degludec (day 1609, for 0 days); insulin aspart, human (day 1609, for 0 days); insulin aspart, human (day 1659, for 0 days); insulin degludec (day 1659, for 0 days); insulin degludec (day 1796, for 0 days); insulin aspart, human (day 1796, for 0 days); insulin degludec (day 1834, for 0 days); insulin aspart, human (day 1834, for 0 days); insulin degludec (day 2021, for 0 days); insulin aspart, human (day 2021, for 0 days); insulin aspart, human (day 2068, for 0 days); insulin degludec (day 2121, for 0 days); insulin degludec (day 2240, for 0 days); insulin aspart, human (day 2240, for 0 days); insulin degludec (day 2322, for 0 days); insulin aspart, human (day 2322, for 0 days); insulin aspart, human (day 2405, for 0 days); insulin degludec (day 2405, for 0 days); insulin degludec (day 2526, for 0 days); insulin aspart, human (day 2526, for 0 days); insulin degludec (day 2635, for 0 days); insulin aspart, human (day 2635, for 0 days); insulin degludec (day 2744, for 0 days); insulin aspart, human (day 2744, for 0 days); insulin degludec (day 2847, for 0 days); insulin aspart, human (day 2847, for 0 days); insulin degludec (day 2974, for 0 days); insulin aspart, human (day 2974, for 0 days); insulin degludec (day 3080, for 0 days); insulin aspart, human (day 3080, for 0 days); insulin degludec (day 3181, for 0 days); insulin aspart, human (day 3181, for 0 days); insulin aspart, human (day 3274, for 0 days); insulin degludec (day 3274, for 12 days); insulin aspart, human (day 3388, for 0 days); insulin aspart, human (day 3470, for 0 days); insulin degludec (day 3476, for 0 days); insulin degludec (day 3574, for 0 days); insulin aspart, human (day 3574, for 0 days); insulin aspart, human (day 3689, for 0 days); insulin degludec (day 3728, for 0 days); insulin aspart, human (day 3777, for 0 days); insulin degludec (day 3778, for 0 days);</t>
  </si>
  <si>
    <t>Nephrocalcinosis (day -1793)</t>
  </si>
  <si>
    <t>-4356 days - 3806 days</t>
  </si>
  <si>
    <t>insulin aspart, human (day 9, for 137 days); insulin aspart, human (day 181, for 113 days); insulin aspart, human (day 342, for 642 days); insulin aspart, human (day 1038, for 188 days);</t>
  </si>
  <si>
    <t>Ketoacidosis due to type 1 diabetes mellitus (day 5)</t>
  </si>
  <si>
    <t>-1008 days - 1233 days</t>
  </si>
  <si>
    <t>insulin aspart, human (day 176, for 27 days); insulin aspart, human (day 249, for 27 days); insulin aspart, human (day 555, for 27 days); insulin aspart, human (day 617, for 902 days); insulin aspart, human (day 1576, for 167 days); insulin aspart, human (day 1808, for 187 days); insulin aspart, human (day 2073, for 82 days); insulin aspart, human (day 2219, for 156 days);</t>
  </si>
  <si>
    <t>Nonproliferative retinopathy of right eye due to diabetes mellitus (day 1269, 1971); Type 1 diabetes mellitus (day 555, 1862)</t>
  </si>
  <si>
    <t>-4424 days - 2396 days</t>
  </si>
  <si>
    <t>insulin aspart, human (day 11, for 1265 days); insulin aspart, human (day 1308, for 214 days); insulin aspart, human (day 1598, for 209 days); insulin aspart, human (day 1852, for 27 days); insulin aspart, human (day 1917, for 67 days); insulin aspart, human (day 2049, for 27 days);</t>
  </si>
  <si>
    <t>Retinopathy due to diabetes mellitus (day 310)</t>
  </si>
  <si>
    <t>-607 days - 2057 days</t>
  </si>
  <si>
    <t>-8396 days - 223 days</t>
  </si>
  <si>
    <t>insulin glargine (day 66, for 27 days); insulin aspart, human (day 66, for 27 days); insulin aspart, human (day 158, for 0 days); insulin glargine (day 180, for 0 days); insulin aspart, human (day 223, for 0 days); insulin aspart, human (day 279, for 0 days); insulin glargine (day 279, for 0 days); insulin aspart, human (day 349, for 0 days); insulin glargine (day 349, for 0 days); insulin aspart, human (day 392, for 0 days); insulin glargine (day 434, for 0 days); insulin aspart, human (day 434, for 0 days); insulin glargine (day 475, for 0 days); insulin aspart, human (day 475, for 0 days); insulin aspart, human (day 508, for 0 days); insulin aspart, human (day 542, for 0 days); insulin glargine (day 542, for 0 days); insulin aspart, human (day 607, for 0 days); insulin glargine (day 607, for 0 days); insulin glargine (day 661, for 0 days); insulin aspart, human (day 661, for 24 days); insulin aspart, human (day 738, for 0 days); insulin glargine (day 738, for 0 days); insulin glargine (day 782, for 0 days); insulin aspart, human (day 782, for 0 days); insulin aspart, human (day 819, for 21 days); insulin glargine (day 840, for 0 days); insulin aspart, human (day 875, for 0 days); insulin glargine (day 901, for 0 days); insulin aspart, human (day 927, for 30 days); insulin glargine (day 957, for 0 days); insulin aspart, human (day 1005, for 23 days); insulin glargine (day 1028, for 0 days); insulin aspart, human (day 1081, for 24 days); insulin glargine (day 1081, for 0 days); insulin aspart, human (day 1152, for 23 days); insulin glargine (day 1152, for 0 days); insulin aspart, human (day 1217, for 54 days); insulin glargine (day 1217, for 0 days); insulin glargine (day 1271, for 0 days); insulin aspart, human (day 1322, for 22 days); insulin glargine (day 1344, for 0 days); insulin aspart, human (day 1389, for 57 days); insulin glargine (day 1389, for 0 days); insulin glargine (day 1474, for 0 days); insulin aspart, human (day 1495, for 28 days); insulin glargine (day 1523, for 0 days); insulin aspart, human (day 1593, for 0 days); insulin glargine (day 1617, for 0 days); insulin aspart, human (day 1629, for 741 days); insulin glargine (day 1699, for 0 days); insulin glargine (day 1743, for 0 days); insulin glargine (day 1825, for 0 days); insulin glargine (day 1888, for 0 days); insulin glargine (day 1958, for 0 days); insulin glargine (day 2028, for 0 days); insulin glargine (day 2113, for 0 days); insulin glargine (day 2190, for 0 days); insulin glargine (day 2252, for 0 days); insulin glargine (day 2323, for 0 days); insulin glargine (day 2407, for 0 days); insulin aspart, human (day 2407, for 567 days); insulin glargine (day 2442, for 0 days); insulin glargine (day 2518, for 0 days); insulin glargine (day 2632, for 0 days); insulin glargine (day 2714, for 0 days); insulin glargine (day 2792, for 0 days); insulin glargine (day 2869, for 0 days); insulin glargine (day 2931, for 0 days);</t>
  </si>
  <si>
    <t>Type 1 diabetes mellitus (day 392, 803)</t>
  </si>
  <si>
    <t>-3237 days - 2951 days</t>
  </si>
  <si>
    <t>insulin aspart, human (day 3, for 30 days); insulin aspart, human (day 68, for 30 days); insulin aspart, human (day 130, for 56 days); insulin aspart, human (day 250, for 28 days); insulin aspart, human (day 314, for 1088 days); insulin aspart, human (day 1441, for 377 days); insulin aspart, human (day 1875, for 1910 days); insulin aspart, human (day 3839, for 27 days); insulin aspart, human (day 3931, for 78 days); insulin aspart, human (day 4078, for 63 days); insulin aspart, human (day 4248, for 110 days); insulin aspart, human (day 4441, for 27 days); insulin aspart, human (day 4499, for 27 days); insulin aspart, human (day 4689, for 136 days); insulin aspart, human (day 4870, for 112 days); insulin aspart, human (day 5066, for 103 days); insulin aspart, human (day 5255, for 27 days);</t>
  </si>
  <si>
    <t>Nonproliferative retinopathy of right eye due to diabetes mellitus (day 2176)</t>
  </si>
  <si>
    <t>-2448 days - 5280 days</t>
  </si>
  <si>
    <t>insulin aspart, human (day 3, for 0 days); insulin glargine (day 41, for 27 days); insulin aspart, human (day 41, for 27 days); insulin aspart, human (day 160, for 49 days); insulin glargine (day 160, for 49 days); insulin glargine (day 461, for 27 days); insulin glargine (day 577, for 27 days); insulin aspart, human (day 681, for 27 days); insulin glargine (day 681, for 27 days); insulin aspart, human (day 794, for 27 days); insulin glargine (day 794, for 27 days); insulin glargine (day 864, for 27 days); insulin glargine (day 941, for 27 days); insulin glargine (day 1018, for 27 days); insulin glargine (day 1122, for 27 days); insulin glargine (day 1204, for 27 days); insulin glargine (day 1277, for 27 days); insulin glargine (day 1351, for 27 days); insulin glargine (day 1434, for 27 days); insulin glargine (day 1533, for 27 days); insulin glargine (day 1613, for 27 days); insulin glargine (day 1697, for 79 days); insulin glargine (day 1827, for 27 days); insulin aspart, human (day 1833, for 0 days);</t>
  </si>
  <si>
    <t>Carpal tunnel syndrome (day 1788); Chronic kidney disease stage 3B (day 175)</t>
  </si>
  <si>
    <t>Chronic kidney disease stage 3A (day -379)</t>
  </si>
  <si>
    <t>Type 1 diabetes mellitus (EHR); Type 2 diabetes mellitus (EHR);</t>
  </si>
  <si>
    <t>-7344 days - 1896 days</t>
  </si>
  <si>
    <t>insulin aspart, human (day 3, for 27 days); insulin, regular, human (day 3, for 1 days); insulin aspart, human (day 179, for 27 days); insulin glargine (day 213, for 0 days); insulin glargine (day 325, for 0 days); insulin aspart, human (day 403, for 27 days); insulin glargine (day 403, for 0 days); insulin glargine (day 456, for 30 days); insulin glargine (day 584, for 0 days); insulin aspart, human (day 598, for 186 days); insulin glargine (day 630, for 0 days); insulin glargine (day 672, for 0 days); insulin glargine (day 708, for 49 days); insulin glargine (day 805, for 0 days); insulin aspart, human (day 871, for 27 days); insulin glargine (day 871, for 0 days); insulin glargine (day 906, for 20 days); insulin aspart, human (day 934, for 27 days); insulin glargine (day 966, for 0 days); insulin glargine (day 1005, for 21 days); insulin aspart, human (day 1026, for 27 days); insulin glargine (day 1073, for 49 days); insulin aspart, human (day 1122, for 27 days); insulin glargine (day 1162, for 35 days); insulin aspart, human (day 1221, for 31 days); insulin glargine (day 1334, for 0 days); insulin aspart, human (day 1387, for 27 days); insulin glargine (day 1431, for 0 days); insulin glargine (day 1586, for 0 days); insulin glargine (day 1753, for 27 days); insulin aspart, human (day 1780, for 27 days); insulin glargine (day 1885, for 0 days); insulin aspart, human (day 1885, for 27 days); insulin aspart, human (day 2038, for 27 days); insulin glargine (day 2038, for 0 days); insulin aspart, human (day 2130, for 27 days); insulin glargine (day 2130, for 0 days); insulin aspart, human (day 2219, for 27 days); insulin glargine (day 2345, for 0 days); insulin aspart, human (day 2345, for 27 days); insulin glargine (day 2415, for 0 days); insulin aspart, human (day 2415, for 27 days); insulin glargine (day 2479, for 0 days); insulin aspart, human (day 2479, for 27 days); insulin glargine (day 2642, for 0 days); insulin aspart, human (day 2683, for 27 days); insulin glargine (day 2683, for 0 days);</t>
  </si>
  <si>
    <t>Nonproliferative retinopathy of left eye due to diabetes mellitus (day 2465)</t>
  </si>
  <si>
    <t>-2710 days - 2698 days</t>
  </si>
  <si>
    <t>insulin aspart, human (day 218, for 152 days); insulin aspart, human (day 413, for 0 days); insulin aspart, human (day 469, for 0 days); insulin aspart, human (day 510, for 0 days); insulin aspart, human (day 566, for 0 days); insulin aspart, human (day 621, for 0 days); insulin aspart, human (day 672, for 0 days); insulin aspart, human (day 716, for 0 days); insulin aspart, human (day 775, for 0 days); insulin aspart, human (day 819, for 0 days); insulin aspart, human (day 873, for 0 days); insulin aspart, human (day 931, for 0 days); insulin aspart, human (day 972, for 0 days); insulin aspart, human (day 1041, for 0 days); insulin aspart, human (day 1076, for 0 days); insulin aspart, human (day 1136, for 0 days); insulin aspart, human (day 1189, for 0 days); insulin aspart, human (day 1230, for 0 days); insulin aspart, human (day 1294, for 0 days); insulin aspart, human (day 1337, for 0 days); insulin aspart, human (day 1395, for 0 days); insulin aspart, human (day 1437, for 0 days); insulin aspart, human (day 1498, for 0 days); insulin aspart, human (day 1541, for 0 days); insulin aspart, human (day 1595, for 0 days); insulin aspart, human (day 1631, for 0 days); insulin aspart, human (day 1679, for 0 days); insulin aspart, human (day 1735, for 0 days); insulin aspart, human (day 1791, for 0 days); insulin aspart, human (day 1833, for 0 days); insulin aspart, human (day 1881, for 0 days); insulin aspart, human (day 1940, for 0 days); insulin aspart, human (day 1974, for 0 days); insulin aspart, human (day 2037, for 0 days); insulin aspart, human (day 2092, for 0 days); insulin aspart, human (day 2140, for 0 days); insulin aspart, human (day 2199, for 0 days); insulin aspart, human (day 2234, for 0 days); insulin aspart, human (day 2287, for 0 days); insulin aspart, human (day 2346, for 28 days); insulin aspart, human (day 2428, for 0 days); insulin aspart, human (day 2485, for 0 days); insulin aspart, human (day 2521, for 0 days); insulin aspart, human (day 2581, for 0 days); insulin aspart, human (day 2631, for 0 days); insulin aspart, human (day 2674, for 0 days); insulin aspart, human (day 2744, for 0 days); insulin aspart, human (day 2785, for 0 days); insulin aspart, human (day 2870, for 0 days); insulin aspart, human (day 2906, for 0 days); insulin aspart, human (day 2968, for 0 days); insulin aspart, human (day 3003, for 0 days); insulin aspart, human (day 3065, for 0 days); insulin aspart, human (day 3122, for 0 days); insulin aspart, human (day 3176, for 0 days); insulin aspart, human (day 3220, for 0 days); insulin aspart, human (day 3271, for 0 days); insulin aspart, human (day 3317, for 0 days); insulin aspart, human (day 3369, for 0 days); insulin aspart, human (day 3430, for 0 days); insulin aspart, human (day 3486, for 0 days); insulin aspart, human (day 3534, for 0 days); insulin aspart, human (day 3584, for 0 days); insulin aspart, human (day 3628, for 164 days); insulin glargine (day 3746, for 26 days); insulin glargine (day 3810, for 21 days); insulin aspart, human (day 3831, for 0 days); insulin glargine (day 3884, for 0 days); insulin glargine (day 3918, for 0 days); insulin aspart, human (day 3918, for 0 days); insulin glargine (day 3974, for 21 days); insulin aspart, human (day 3974, for 21 days); insulin glargine (day 4051, for 0 days); insulin aspart, human (day 4122, for 0 days); insulin aspart, human (day 4269, for 0 days); insulin aspart, human (day 4325, for 0 days); insulin aspart, human (day 4424, for 0 days); insulin aspart, human (day 4510, for 0 days); insulin aspart, human (day 4629, for 0 days); insulin aspart, human (day 4689, for 0 days); insulin aspart, human (day 4836, for 0 days); insulin aspart, human (day 4927, for 0 days); insulin aspart, human (day 5054, for 0 days); insulin aspart, human (day 5091, for 0 days); insulin aspart, human (day 5146, for 0 days); insulin aspart, human (day 5208, for 0 days); insulin aspart, human (day 5406, for 0 days); insulin aspart, human (day 5560, for 0 days); insulin aspart, human (day 5671, for 0 days); insulin aspart, human (day 5759, for 0 days); insulin aspart, human (day 5819, for 0 days); insulin aspart, human (day 5936, for 0 days); insulin aspart, human (day 6041, for 0 days); insulin aspart, human (day 6091, for 0 days); insulin aspart, human (day 6195, for 0 days); insulin aspart, human (day 6260, for 27 days); insulin aspart, human (day 6518, for 0 days); insulin aspart, human (day 6560, for 0 days); insulin aspart, human (day 6676, for 0 days); insulin aspart, human (day 6772, for 4 days); insulin aspart, human (day 6928, for 0 days); insulin aspart, human (day 7019, for 0 days); insulin glargine (day 7022, for 48 days); insulin aspart, human (day 7070, for 0 days); insulin glargine (day 7103, for 0 days); insulin glargine (day 7141, for 27 days); insulin aspart, human (day 7160, for 8 days); insulin glargine (day 7208, for 25 days); insulin glargine (day 7280, for 6 days); insulin aspart, human (day 7286, for 0 days); insulin glargine (day 7330, for 0 days); insulin aspart, human (day 7379, for 0 days); insulin glargine (day 7379, for 0 days); insulin glargine (day 7415, for 0 days); insulin aspart, human (day 7440, for 0 days); insulin glargine (day 7471, for 0 days); insulin aspart, human (day 7483, for 0 days); insulin glargine (day 7506, for 0 days); insulin glargine (day 7539, for 0 days); insulin aspart, human (day 7548, for 0 days); insulin glargine (day 7593, for 0 days); insulin aspart, human (day 7630, for 0 days); insulin glargine (day 7630, for 21 days); insulin glargine (day 7692, for 24 days); insulin aspart, human (day 7692, for 0 days); insulin aspart, human (day 7771, for 0 days); insulin glargine (day 7771, for 0 days); insulin glargine (day 7814, for 0 days); insulin aspart, human (day 7814, for 0 days); insulin aspart, human (day 7863, for 0 days); insulin glargine (day 7863, for 26 days); insulin glargine (day 7923, for 0 days); insulin aspart, human (day 7937, for 0 days);</t>
  </si>
  <si>
    <t>Diabetes mellitus (day 204); Disorder of left macula due to diabetes mellitus (day 6596); Disorder of macula due to diabetes mellitus (day 6524, 6596); Nonproliferative retinopathy due to diabetes mellitus (day 5136, 5586, 6524, 6596, 6827); Nonproliferative retinopathy of left eye due to diabetes mellitus (day 5136, 5586, 6524, 6596); Nonproliferative retinopathy of right eye due to diabetes mellitus (day 5586, 6524, 6596); Peripheral nerve disease (day 4493); Type 1 diabetes mellitus (day 245, 1184, 1227, 1281, 1342, 1609, 1771, 2051)</t>
  </si>
  <si>
    <t>Thyrotoxicosis (EHR); Type 1 diabetes mellitus (EHR);</t>
  </si>
  <si>
    <t>-1456 days - 7966 days</t>
  </si>
  <si>
    <t>insulin aspart, human (day 15, for 27 days); insulin degludec (day 15, for 27 days); insulin degludec (day 74, for 0 days); insulin aspart, human (day 74, for 0 days); insulin aspart, human (day 107, for 0 days); insulin degludec (day 107, for 0 days); insulin aspart, human (day 143, for 0 days); insulin degludec (day 143, for 0 days);</t>
  </si>
  <si>
    <t>Nocturia (EHR); Type 1 diabetes mellitus (EHR);</t>
  </si>
  <si>
    <t>-4682 days - 160 days</t>
  </si>
  <si>
    <t>insulin aspart, human (day 14, for 0 days); insulin glargine (day 14, for 0 days); insulin glargine (day 55, for 0 days); insulin aspart, human (day 55, for 0 days); insulin glargine (day 124, for 54 days); insulin aspart, human (day 154, for 24 days); insulin aspart, human (day 228, for 0 days); insulin glargine (day 242, for 0 days); insulin aspart, human (day 291, for 0 days); insulin glargine (day 291, for 0 days); insulin glargine (day 343, for 0 days); insulin aspart, human (day 343, for 0 days);</t>
  </si>
  <si>
    <t>Type 1 diabetes mellitus (day 13)</t>
  </si>
  <si>
    <t>Ketoacidosis due to type 1 diabetes mellitus (EHR);</t>
  </si>
  <si>
    <t>-5870 days - 361 days</t>
  </si>
  <si>
    <t>insulin glargine (day 7, for 46 days); insulin aspart, human (day 7, for 46 days); insulin aspart, human (day 160, for 27 days); insulin aspart, human (day 221, for 926 days); insulin glargine (day 221, for 309 days);</t>
  </si>
  <si>
    <t>Ketoacidosis due to type 1 diabetes mellitus (EHR); Type 1 diabetes mellitus (EHR);</t>
  </si>
  <si>
    <t>-1373 days - 1158 days</t>
  </si>
  <si>
    <t>insulin glargine (day 25, for 150 days); insulin aspart, human (day 28, for 0 days); insulin aspart, human (day 63, for 0 days); insulin aspart, human (day 148, for 0 days); insulin glargine (day 206, for 69 days); insulin aspart, human (day 206, for 0 days); insulin aspart, human (day 248, for 0 days); insulin aspart, human (day 298, for 0 days);</t>
  </si>
  <si>
    <t>-6128 days - 302 days</t>
  </si>
  <si>
    <t>insulin glargine (day 6, for 101 days); insulin aspart, human (day 6, for 101 days); insulin glargine (day 147, for 211 days); insulin aspart, human (day 147, for 211 days); insulin glargine (day 392, for 0 days); insulin aspart, human (day 392, for 0 days); insulin aspart, human (day 425, for 56 days); insulin glargine (day 425, for 56 days); insulin aspart, human (day 512, for 140 days); insulin glargine (day 512, for 140 days); insulin glargine (day 685, for 27 days); insulin aspart, human (day 685, for 27 days); insulin glargine (day 748, for 0 days); insulin aspart, human (day 748, for 0 days); insulin aspart, human (day 782, for 0 days); insulin glargine (day 782, for 0 days); insulin glargine (day 825, for 0 days); insulin aspart, human (day 825, for 0 days); insulin glargine (day 870, for 0 days); insulin aspart, human (day 870, for 0 days); insulin glargine (day 910, for 27 days); insulin aspart, human (day 910, for 27 days);</t>
  </si>
  <si>
    <t>Mixed anxiety and depressive disorder (day -5692); Recurrent depression (day -930)</t>
  </si>
  <si>
    <t>-6642 days - 967 days</t>
  </si>
  <si>
    <t>insulin aspart, human (day 9, for 27 days); insulin aspart, human (day 74, for 27 days); insulin aspart, human (day 134, for 27 days); insulin aspart, human (day 212, for 69 days); insulin degludec (day 319, for 0 days); insulin aspart, human (day 351, for 27 days); insulin degludec (day 351, for 0 days);</t>
  </si>
  <si>
    <t>Hyperglycemia (EHR); Type 1 diabetes mellitus (EHR);</t>
  </si>
  <si>
    <t>-2146 days - 399 days</t>
  </si>
  <si>
    <t>insulin glargine (day 7, for 0 days); insulin aspart, human (day 7, for 0 days); insulin aspart, human (day 64, for 0 days); insulin aspart, human (day 105, for 0 days); insulin glargine (day 138, for 0 days); insulin aspart, human (day 174, for 0 days); insulin aspart, human (day 228, for 0 days); insulin glargine (day 228, for 0 days); insulin aspart, human (day 307, for 0 days); insulin aspart, human (day 354, for 0 days); insulin glargine (day 354, for 0 days); insulin glargine (day 447, for 0 days); insulin aspart, human (day 447, for 0 days); insulin glargine (day 496, for 0 days); insulin aspart, human (day 496, for 0 days); insulin aspart, human (day 588, for 0 days); insulin glargine (day 650, for 0 days); insulin aspart, human (day 650, for 0 days); insulin aspart, human (day 691, for 0 days); insulin glargine (day 691, for 0 days); insulin aspart, human (day 868, for 0 days); insulin glargine (day 868, for 0 days); insulin glargine (day 1027, for 0 days); insulin aspart, human (day 1027, for 0 days); insulin glargine (day 1077, for 22 days); insulin aspart, human (day 1077, for 22 days); insulin glargine (day 1223, for 0 days); insulin aspart, human (day 1223, for 0 days); insulin aspart, human (day 1364, for 20 days); insulin glargine (day 1384, for 0 days); insulin aspart, human (day 1470, for 0 days); insulin glargine (day 1470, for 0 days); insulin aspart, human (day 1727, for 0 days); insulin glargine (day 1727, for 0 days); insulin aspart, human (day 1790, for 0 days); insulin glargine (day 1790, for 0 days); insulin aspart, human (day 1869, for 28 days); insulin glargine (day 1869, for 28 days); insulin aspart, human (day 1950, for 0 days); insulin glargine (day 1950, for 0 days); insulin aspart, human (day 2021, for 0 days); insulin glargine (day 2021, for 0 days); insulin aspart, human (day 2056, for 0 days); insulin glargine (day 2056, for 0 days); insulin aspart, human (day 2106, for 0 days); insulin glargine (day 2106, for 0 days); insulin aspart, human (day 2183, for 0 days); insulin aspart, human (day 2241, for 0 days); insulin glargine (day 2241, for 0 days); insulin aspart, human (day 2332, for 0 days); insulin glargine (day 2427, for 0 days); insulin aspart, human (day 2427, for 0 days); insulin glargine (day 2462, for 0 days); insulin aspart, human (day 2462, for 0 days); insulin aspart, human (day 2568, for 0 days); insulin glargine (day 2660, for 0 days); insulin aspart, human (day 2660, for 0 days); insulin glargine (day 2756, for 0 days); insulin aspart, human (day 2756, for 0 days); insulin glargine (day 2819, for 0 days); insulin aspart, human (day 2819, for 0 days); insulin aspart, human (day 2862, for 0 days); insulin aspart, human (day 2923, for 0 days); insulin glargine (day 2923, for 0 days); insulin glargine (day 2988, for 0 days); insulin aspart, human (day 2988, for 0 days); insulin aspart, human (day 3046, for 0 days); insulin aspart, human (day 3100, for 0 days); insulin glargine (day 3217, for 0 days); insulin aspart, human (day 3217, for 0 days); insulin aspart, human (day 3268, for 0 days); insulin glargine (day 3268, for 0 days);</t>
  </si>
  <si>
    <t>Diabetic ketoacidosis (EHR); Type 1 diabetes mellitus (EHR);</t>
  </si>
  <si>
    <t>-4706 days - 3281 days</t>
  </si>
  <si>
    <t>insulin, regular, human (day 22, for 27 days); insulin, regular, human (day 98, for 27 days); insulin, regular, human (day 156, for 27 days); insulin, regular, human (day 225, for 27 days); insulin, regular, human (day 311, for 55 days); insulin, regular, human (day 483, for 176 days); insulin, regular, human (day 743, for 623 days); insulin, regular, human (day 1453, for 55 days); insulin, regular, human (day 1540, for 55 days); insulin, regular, human (day 1673, for 76 days); insulin, regular, human (day 1843, for 55 days); insulin, regular, human (day 1985, for 292 days); insulin, regular, human (day 2422, for 27 days); insulin, regular, human (day 2548, for 2 days); insulin, regular, human (day 2621, for 2 days); insulin, regular, human (day 2662, for 30 days); insulin, regular, human (day 2741, for 2 days); insulin, regular, human (day 2800, for 2 days); insulin, regular, human (day 2864, for 2 days); insulin, regular, human (day 2919, for 2 days); insulin, regular, human (day 2979, for 2 days); insulin, regular, human (day 3125, for 2 days);</t>
  </si>
  <si>
    <t>Diabetes mellitus (day 126, 2656, 2979); Neuropathy due to diabetes mellitus (day 2445); Type 1 diabetes mellitus (day 1886)</t>
  </si>
  <si>
    <t>Diabetes mellitus (EHR); Type 1 diabetes mellitus (EHR);</t>
  </si>
  <si>
    <t>-572 days - 3364 days</t>
  </si>
  <si>
    <t>insulin aspart, human (day 1, for 0 days); insulin aspart, human (day 43, for 33 days); insulin aspart, human (day 118, for 76 days); insulin aspart, human (day 259, for 59 days); insulin aspart, human (day 349, for 27 days); insulin aspart, human (day 433, for 83 days); insulin aspart, human (day 553, for 389 days); insulin aspart, human (day 973, for 60 days);</t>
  </si>
  <si>
    <t>Diabetes mellitus (EHR); Diabetic ketoacidosis (EHR); Type 1 diabetes mellitus (EHR);</t>
  </si>
  <si>
    <t>-1970 days - 1022 days</t>
  </si>
  <si>
    <t>-5976 days - 17 days</t>
  </si>
  <si>
    <t>insulin, regular, human (day 407, for 205 days); insulin, regular, human (day 672, for 56 days); insulin, regular, human (day 782, for 119 days); insulin, regular, human (day 945, for 168 days); insulin, regular, human (day 1147, for 155 days); insulin, regular, human (day 1441, for 57 days); insulin, regular, human (day 1803, for 27 days); insulin, regular, human (day 1876, for 49 days); insulin aspart, human (day 1953, for 69 days); insulin glargine (day 1953, for 0 days); insulin glargine (day 2036, for 0 days); insulin aspart, human (day 2083, for 27 days); insulin aspart, human (day 2150, for 276 days); insulin glargine (day 2371, for 0 days); insulin aspart, human (day 2462, for 224 days); insulin glargine (day 2640, for 19 days); insulin aspart, human (day 2742, for 160 days); insulin glargine (day 2875, for 0 days); insulin aspart, human (day 2954, for 74 days); insulin glargine (day 2954, for 0 days); insulin glargine (day 3001, for 0 days); insulin aspart, human (day 3070, for 150 days); insulin glargine (day 3106, for 0 days); insulin glargine (day 3162, for 0 days); insulin glargine (day 3253, for 0 days); insulin aspart, human (day 3253, for 180 days); insulin glargine (day 3351, for 0 days); insulin glargine (day 3452, for 0 days); insulin aspart, human (day 3470, for 341 days); insulin glargine (day 3505, for 0 days); insulin glargine (day 3541, for 0 days); insulin glargine (day 3606, for 0 days); insulin glargine (day 3708, for 27 days); insulin glargine (day 3784, for 0 days); insulin aspart, human (day 3857, for 270 days); insulin glargine (day 3997, for 0 days); insulin glargine (day 4065, for 0 days); insulin aspart, human (day 4170, for 266 days); insulin glargine (day 4261, for 0 days); insulin glargine (day 4346, for 0 days); insulin glargine (day 4389, for 0 days); insulin aspart, human (day 4480, for 215 days); insulin glargine (day 4480, for 0 days); insulin glargine (day 4529, for 0 days); insulin glargine (day 4598, for 0 days); insulin glargine (day 4631, for 0 days);</t>
  </si>
  <si>
    <t>Diabetic ketoacidosis (day 3178)</t>
  </si>
  <si>
    <t>-552 days - 4726 days</t>
  </si>
  <si>
    <t>insulin, regular, human (day 4, for 541 days); insulin, regular, human (day 710, for 27 days); insulin, regular, human (day 770, for 118 days); insulin, regular, human (day 920, for 27 days); insulin, regular, human (day 1013, for 620 days); insulin, regular, human (day 1669, for 62 days); insulin lispro (day 1747, for 1394 days); insulin glargine (day 3111, for 0 days); insulin glargine (day 3161, for 0 days); insulin lispro (day 3177, for 27 days); insulin glargine (day 3216, for 73 days); insulin lispro (day 3244, for 125 days); insulin glargine (day 3342, for 0 days); insulin glargine (day 3385, for 0 days); insulin glargine (day 3419, for 0 days); insulin lispro (day 3419, for 27 days); insulin lispro (day 3482, for 27 days); insulin glargine (day 3482, for 29 days); insulin glargine (day 3554, for 0 days); insulin lispro (day 3573, for 27 days); insulin glargine (day 3601, for 0 days); insulin glargine (day 3636, for 0 days); insulin lispro (day 3650, for 120 days); insulin glargine (day 3671, for 49 days); insulin glargine (day 3757, for 0 days); insulin glargine (day 3792, for 29 days); insulin lispro (day 3821, for 27 days); insulin glargine (day 3874, for 0 days); insulin lispro (day 3895, for 27 days); insulin glargine (day 3912, for 0 days); insulin glargine (day 3947, for 0 days); insulin lispro (day 3965, for 83 days); insulin glargine (day 3996, for 25 days); insulin glargine (day 4052, for 0 days); insulin lispro (day 4098, for 27 days); insulin glargine (day 4098, for 0 days); insulin glargine (day 4147, for 23 days); insulin lispro (day 4170, for 27 days); insulin glargine (day 4220, for 15 days); insulin lispro (day 4235, for 27 days); insulin glargine (day 4288, for 17 days); insulin lispro (day 4305, for 27 days); insulin glargine (day 4358, for 20 days); insulin lispro (day 4378, for 27 days); insulin glargine (day 4427, for 0 days); insulin lispro (day 4441, for 27 days); insulin glargine (day 4469, for 0 days); insulin glargine (day 4511, for 30 days); insulin lispro (day 4511, for 27 days); insulin glargine (day 4582, for 0 days); insulin lispro (day 4595, for 83 days); insulin glargine (day 4623, for 52 days); insulin lispro (day 4711, for 27 days); insulin glargine (day 4711, for 0 days); insulin glargine (day 4744, for 0 days); insulin lispro (day 4772, for 27 days); insulin glargine (day 4784, for 0 days); insulin glargine (day 4815, for 25 days); insulin lispro (day 4840, for 27 days); insulin glargine (day 4907, for 0 days); insulin lispro (day 4931, for 27 days); insulin glargine (day 4942, for 0 days); insulin glargine (day 4977, for 0 days); insulin lispro (day 4989, for 27 days); insulin glargine (day 5024, for 30 days); insulin lispro (day 5054, for 27 days); insulin glargine (day 5096, for 0 days); insulin glargine (day 5131, for 0 days); insulin lispro (day 5131, for 27 days); insulin glargine (day 5166, for 20 days); insulin lispro (day 5214, for 27 days); insulin glargine (day 5253, for 29 days); insulin lispro (day 5282, for 27 days); insulin glargine (day 5325, for 0 days); insulin lispro (day 5359, for 68 days); insulin glargine (day 5359, for 0 days); insulin glargine (day 5400, for 0 days); insulin glargine (day 5435, for 0 days); insulin glargine (day 5470, for 0 days); insulin lispro (day 5470, for 27 days); insulin glargine (day 5513, for 0 days); insulin glargine (day 5549, for 0 days); insulin lispro (day 5562, for 27 days); insulin glargine (day 5590, for 30 days); insulin lispro (day 5620, for 27 days); insulin glargine (day 5674, for 0 days); insulin lispro (day 5710, for 27 days); insulin glargine (day 5710, for 0 days); insulin glargine (day 5750, for 29 days); insulin lispro (day 5779, for 27 days); insulin glargine (day 5827, for 0 days); insulin glargine (day 5869, for 0 days); insulin lispro (day 5869, for 64 days); insulin glargine (day 5906, for 0 days); insulin glargine (day 5942, for 0 days); insulin glargine (day 5984, for 0 days); insulin lispro (day 6020, for 74 days); insulin glargine (day 6020, for 0 days); insulin glargine (day 6067, for 0 days); insulin glargine (day 6108, for 0 days); insulin lispro (day 6143, for 27 days); insulin glargine (day 6143, for 27 days); insulin glargine (day 6219, for 0 days); insulin lispro (day 6219, for 70 days); insulin glargine (day 6262, for 29 days); insulin lispro (day 6339, for 27 days); insulin glargine (day 6339, for 0 days); insulin glargine (day 6374, for 0 days); insulin glargine (day 6415, for 0 days); insulin lispro (day 6415, for 27 days); insulin glargine (day 6453, for 0 days); insulin glargine (day 6487, for 0 days); insulin lispro (day 6487, for 111 days); insulin glargine (day 6521, for 0 days); insulin glargine (day 6571, for 0 days);</t>
  </si>
  <si>
    <t>Herpes zoster (day 5397); Type 1 diabetes mellitus (day 4064)</t>
  </si>
  <si>
    <t>-1374 days - 6593 days</t>
  </si>
  <si>
    <t>insulin, regular, human (day 7, for 27 days); insulin, regular, human (day 84, for 27 days); insulin, regular, human (day 143, for 311 days); insulin, regular, human (day 510, for 141 days); insulin, regular, human (day 706, for 153 days); insulin, regular, human (day 909, for 181 days); insulin, regular, human (day 1154, for 52 days);</t>
  </si>
  <si>
    <t>Agitated depression (day 801); Diabetes mellitus (day 511, 750, 801, 854, 1014); Endogenous depression first episode (day 638); Reactive depression (situational) (day 24); Type 1 diabetes mellitus (day 194)</t>
  </si>
  <si>
    <t>Diabetes mellitus (EHR); Mass of skin (EHR); Type 1 diabetes mellitus (EHR);</t>
  </si>
  <si>
    <t>-851 days - 1213 days</t>
  </si>
  <si>
    <t>insulin aspart, human (day 3, for 30 days);</t>
  </si>
  <si>
    <t>-3416 days - 64 days</t>
  </si>
  <si>
    <t>insulin glargine (day 0, for 30 days); insulin aspart, human (day 16, for 52 days); insulin glargine (day 92, for 27 days); insulin aspart, human (day 104, for 27 days); insulin aspart, human (day 171, for 27 days); insulin aspart, human (day 233, for 27 days); insulin aspart, human (day 358, for 76 days); insulin glargine (day 479, for 27 days); insulin aspart, human (day 479, for 27 days); insulin glargine (day 686, for 27 days); insulin aspart, human (day 686, for 27 days); insulin aspart, human (day 751, for 27 days);</t>
  </si>
  <si>
    <t>-611 days - 763 days</t>
  </si>
  <si>
    <t>insulin aspart, human (day 0, for 27 days); insulin aspart, human (day 66, for 27 days); insulin aspart, human (day 150, for 0 days); insulin aspart, human (day 229, for 0 days); insulin aspart, human (day 292, for 0 days); insulin aspart, human (day 354, for 0 days); insulin aspart, human (day 385, for 0 days); insulin glargine (day 445, for 27 days); insulin aspart, human (day 488, for 0 days); insulin glargine (day 528, for 27 days); insulin aspart, human (day 528, for 0 days); insulin glargine (day 586, for 27 days); insulin aspart, human (day 586, for 0 days); insulin aspart, human (day 633, for 0 days); insulin glargine (day 661, for 77 days); insulin aspart, human (day 691, for 0 days); insulin aspart, human (day 728, for 0 days); insulin glargine (day 769, for 84 days); insulin aspart, human (day 826, for 0 days); insulin aspart, human (day 886, for 0 days); insulin glargine (day 889, for 290 days); insulin aspart, human (day 944, for 53 days); insulin aspart, human (day 1047, for 0 days); insulin aspart, human (day 1099, for 0 days); insulin aspart, human (day 1152, for 0 days); insulin aspart, human (day 1187, for 0 days); insulin glargine (day 1215, for 1178 days); insulin aspart, human (day 1236, for 0 days); insulin aspart, human (day 1272, for 0 days); insulin aspart, human (day 1315, for 0 days); insulin aspart, human (day 1369, for 0 days); insulin aspart, human (day 1414, for 0 days); insulin aspart, human (day 1449, for 0 days); insulin aspart, human (day 1524, for 0 days); insulin aspart, human (day 1566, for 0 days); insulin aspart, human (day 1600, for 15 days); insulin aspart, human (day 1673, for 0 days); insulin aspart, human (day 1715, for 53 days); insulin aspart, human (day 1812, for 0 days); insulin aspart, human (day 1845, for 0 days); insulin aspart, human (day 1909, for 30 days); insulin aspart, human (day 2012, for 0 days); insulin aspart, human (day 2055, for 21 days); insulin aspart, human (day 2126, for 0 days); insulin aspart, human (day 2168, for 0 days); insulin aspart, human (day 2254, for 28 days); insulin aspart, human (day 2320, for 0 days); insulin aspart, human (day 2366, for 0 days); insulin aspart, human (day 2405, for 0 days); insulin glargine (day 2432, for 154 days); insulin aspart, human (day 2457, for 0 days); insulin aspart, human (day 2499, for 0 days); insulin aspart, human (day 2541, for 45 days); insulin glargine (day 2624, for 0 days); insulin glargine (day 2658, for 0 days); insulin aspart, human (day 2671, for 0 days); insulin glargine (day 2700, for 21 days); insulin aspart, human (day 2721, for 0 days); insulin glargine (day 2761, for 29 days); insulin aspart, human (day 2761, for 0 days); insulin aspart, human (day 2821, for 0 days); insulin glargine (day 2848, for 28 days); insulin aspart, human (day 2876, for 0 days); insulin aspart, human (day 2909, for 0 days); insulin glargine (day 2910, for 0 days); insulin aspart, human (day 2959, for 56 days); insulin glargine (day 2986, for 29 days); insulin aspart, human (day 3052, for 0 days); insulin glargine (day 3052, for 0 days); insulin aspart, human (day 3119, for 0 days); insulin glargine (day 3119, for 0 days); insulin aspart, human (day 3157, for 0 days); insulin glargine (day 3157, for 0 days); insulin glargine (day 3205, for 0 days); insulin glargine (day 3237, for 29 days); insulin aspart, human (day 3237, for 29 days); insulin glargine (day 3316, for 28 days); insulin aspart, human (day 3316, for 28 days); insulin glargine (day 3394, for 43 days); insulin aspart, human (day 3394, for 43 days); insulin glargine (day 3497, for 0 days); insulin aspart, human (day 3532, for 0 days); insulin glargine (day 3532, for 0 days); insulin glargine (day 3566, for 0 days); insulin aspart, human (day 3566, for 0 days); insulin glargine (day 3609, for 0 days); insulin aspart, human (day 3609, for 0 days); insulin glargine (day 3640, for 0 days); insulin aspart, human (day 3640, for 0 days); insulin glargine (day 3674, for 0 days); insulin aspart, human (day 3674, for 0 days); insulin glargine (day 3720, for 0 days); insulin aspart, human (day 3720, for 0 days); insulin aspart, human (day 3771, for 0 days); insulin glargine (day 3771, for 0 days); insulin glargine (day 3806, for 0 days); insulin aspart, human (day 3806, for 29 days); insulin glargine (day 3854, for 0 days); insulin aspart, human (day 3876, for 0 days); insulin glargine (day 3892, for 0 days); insulin aspart, human (day 3912, for 56 days); insulin glargine (day 3939, for 29 days); insulin glargine (day 4018, for 0 days); insulin aspart, human (day 4018, for 27 days); insulin glargine (day 4084, for 0 days); insulin aspart, human (day 4088, for 0 days); insulin glargine (day 4120, for 0 days); insulin aspart, human (day 4120, for 0 days); insulin aspart, human (day 4163, for 0 days); insulin glargine (day 4163, for 0 days); insulin glargine (day 4217, for 0 days); insulin aspart, human (day 4217, for 0 days); insulin aspart, human (day 4261, for 58 days); insulin glargine (day 4261, for 30 days); insulin glargine (day 4367, for 0 days); insulin aspart, human (day 4367, for 0 days); insulin aspart, human (day 4414, for 0 days); insulin glargine (day 4414, for 28 days); insulin glargine (day 4478, for 0 days); insulin aspart, human (day 4478, for 0 days); insulin glargine (day 4535, for 0 days); insulin aspart, human (day 4535, for 0 days); insulin glargine (day 4567, for 0 days); insulin aspart, human (day 4567, for 0 days); insulin aspart, human (day 4641, for 0 days); insulin glargine (day 4641, for 0 days); insulin glargine (day 4694, for 1 days); insulin aspart, human (day 4694, for 1 days); insulin aspart, human (day 4749, for 0 days); insulin glargine (day 4812, for 0 days); insulin aspart, human (day 4812, for 0 days); insulin glargine (day 4847, for 0 days); insulin aspart, human (day 4884, for 0 days); insulin glargine (day 4884, for 0 days); insulin glargine (day 4924, for 0 days); insulin aspart, human (day 4924, for 0 days); insulin aspart, human (day 5001, for 0 days); insulin glargine (day 5001, for 0 days); insulin glargine (day 5036, for 29 days); insulin aspart, human (day 5036, for 29 days); insulin aspart, human (day 5134, for 0 days); insulin glargine (day 5134, for 0 days); insulin glargine (day 5179, for 0 days); insulin aspart, human (day 5215, for 0 days); insulin glargine (day 5215, for 0 days); insulin aspart, human (day 5254, for 0 days); insulin glargine (day 5254, for 0 days); insulin glargine (day 5288, for 0 days); insulin aspart, human (day 5288, for 0 days); insulin glargine (day 5374, for 0 days); insulin aspart, human (day 5374, for 0 days); insulin glargine (day 5409, for 0 days); insulin aspart, human (day 5409, for 0 days); insulin aspart, human (day 5445, for 0 days); insulin glargine (day 5445, for 0 days); insulin aspart, human (day 5516, for 0 days); insulin glargine (day 5516, for 0 days); insulin aspart, human (day 5592, for 0 days); insulin glargine (day 5592, for 0 days); insulin glargine (day 5631, for 0 days); insulin aspart, human (day 5631, for 0 days); insulin glargine (day 5673, for 0 days); insulin aspart, human (day 5708, for 0 days); insulin glargine (day 5708, for 0 days); insulin glargine (day 5759, for 0 days); insulin aspart, human (day 5759, for 0 days); insulin glargine (day 5802, for 0 days); insulin aspart, human (day 5802, for 0 days); insulin glargine (day 5870, for 0 days); insulin aspart, human (day 5919, for 0 days); insulin glargine (day 5919, for 0 days); insulin glargine (day 5961, for 24 days); insulin aspart, human (day 5961, for 24 days); insulin degludec (day 6019, for 27 days); insulin aspart, human (day 6046, for 0 days); insulin degludec (day 6107, for 0 days); insulin aspart, human (day 6107, for 0 days); insulin aspart, human (day 6139, for 0 days); insulin degludec (day 6139, for 0 days); insulin aspart, human (day 6177, for 101 days); insulin degludec (day 6195, for 17 days); insulin degludec (day 6251, for 0 days); insulin glargine (day 6310, for 0 days); insulin aspart, human (day 6310, for 883 days); insulin glargine (day 6396, for 0 days); insulin glargine (day 6737, for 0 days); insulin glargine (day 7003, for 0 days);</t>
  </si>
  <si>
    <t>Diabetes mellitus (day 1418, 1936); Retinopathy due to diabetes mellitus (day 923)</t>
  </si>
  <si>
    <t>-893 days - 7129 days</t>
  </si>
  <si>
    <t>Diabetes mellitus (day 323, 406, 1006); Type 1 diabetes mellitus (day 778, 1006); Type 2 diabetes mellitus (day 406)</t>
  </si>
  <si>
    <t>Diabetes mellitus (EHR); Insulin treated type 2 diabetes mellitus (EHR); Type 1 diabetes mellitus (EHR);</t>
  </si>
  <si>
    <t>-938 days - 1257 days</t>
  </si>
  <si>
    <t>insulin aspart, human (day 4, for 128 days); insulin aspart, human (day 245, for 27 days); insulin aspart, human (day 326, for 0 days); insulin aspart, human (day 441, for 0 days); insulin aspart, human (day 490, for 78 days); insulin aspart, human (day 636, for 85 days); insulin aspart, human (day 753, for 0 days); insulin aspart, human (day 788, for 0 days); insulin aspart, human (day 819, for 0 days); insulin aspart, human (day 854, for 0 days); insulin aspart, human (day 887, for 87 days); insulin aspart, human (day 1034, for 160 days); insulin aspart, human (day 1247, for 90 days); insulin aspart, human (day 1380, for 857 days); insulin aspart, human (day 2286, for 84 days); insulin aspart, human (day 2406, for 120 days); insulin aspart, human (day 2568, for 194 days); insulin aspart, human (day 2825, for 176 days); insulin lispro (day 3001, for 0 days); insulin lispro (day 3049, for 18 days); insulin lispro (day 3101, for 26 days); insulin lispro (day 3169, for 126 days);</t>
  </si>
  <si>
    <t>Diabetic ketoacidosis (day 5); Ketoacidosis due to type 1 diabetes mellitus (day 2315)</t>
  </si>
  <si>
    <t>Blood pressure finding (EHR); Diabetes mellitus (EHR); Type 1 diabetes mellitus (EHR);</t>
  </si>
  <si>
    <t>-3845 days - 3300 days</t>
  </si>
  <si>
    <t>insulin aspart, human (day 33, for 60 days); insulin glargine (day 125, for 98 days); insulin glargine (day 279, for 27 days); insulin glargine (day 369, for 67 days); insulin glargine (day 510, for 27 days); insulin glargine (day 614, for 74 days); insulin glargine (day 754, for 35 days); insulin glargine (day 930, for 27 days); insulin glargine (day 991, for 73 days); insulin glargine (day 1189, for 0 days);</t>
  </si>
  <si>
    <t>Depressive disorder (day 157, 262); Recurrent major depressive episodes (day 350)</t>
  </si>
  <si>
    <t>Cerebrovascular accident (day -162); Reactive depression (situational) (day -2647)</t>
  </si>
  <si>
    <t>-5496 days - 1202 days</t>
  </si>
  <si>
    <t>insulin aspart, human (day 1, for 1586 days); insulin, regular, human (day 1, for 44 days); metformin (day 1091, for 29 days); insulin glargine (day 1091, for 28 days); insulin glargine (day 1155, for 0 days); metformin (day 1155, for 41 days); insulin glargine (day 1189, for 89 days); metformin (day 1238, for 69 days); insulin glargine (day 1327, for 0 days); insulin glargine (day 1359, for 0 days); insulin glargine (day 1400, for 26 days); insulin glargine (day 1482, for 0 days);</t>
  </si>
  <si>
    <t>Type 1 diabetes mellitus (day 47, 677)</t>
  </si>
  <si>
    <t>Atypical chest pain (EHR); Type 1 diabetes mellitus (EHR);</t>
  </si>
  <si>
    <t>-1969 days - 1588 days</t>
  </si>
  <si>
    <t>insulin glargine (day 8, for 178 days); insulin aspart, human (day 8, for 178 days); insulin aspart, human (day 218, for 243 days); insulin glargine (day 218, for 243 days); insulin aspart, human (day 543, for 28 days); insulin glargine (day 543, for 28 days);</t>
  </si>
  <si>
    <t>Asymptomatic periapical periodontitis (EHR); Dental caries (EHR); Type 1 diabetes mellitus (EHR);</t>
  </si>
  <si>
    <t>-7106 days - 903 days</t>
  </si>
  <si>
    <t>insulin glargine (day 1670, for 157 days); insulin aspart, human (day 1823, for 27 days); insulin aspart, human (day 1894, for 55 days); insulin aspart, human (day 1985, for 27 days); insulin aspart, human (day 2066, for 94 days); insulin aspart, human (day 2227, for 0 days); insulin aspart, human (day 2271, for 0 days); insulin aspart, human (day 2334, for 0 days); insulin aspart, human (day 2387, for 0 days); insulin aspart, human (day 2478, for 0 days); insulin aspart, human (day 2517, for 0 days); insulin aspart, human (day 2591, for 0 days); insulin aspart, human (day 2642, for 0 days); insulin aspart, human (day 2706, for 0 days); insulin aspart, human (day 2765, for 0 days); insulin aspart, human (day 2823, for 0 days); insulin aspart, human (day 2871, for 0 days); insulin aspart, human (day 2934, for 0 days); insulin aspart, human (day 2990, for 0 days); insulin aspart, human (day 3060, for 0 days); insulin aspart, human (day 3129, for 0 days); insulin aspart, human (day 3182, for 0 days); insulin aspart, human (day 3244, for 0 days); insulin aspart, human (day 3313, for 0 days); insulin aspart, human (day 3353, for 0 days); insulin aspart, human (day 3452, for 0 days); insulin aspart, human (day 3538, for 0 days); insulin aspart, human (day 3612, for 0 days); insulin aspart, human (day 3697, for 0 days); insulin aspart, human (day 3760, for 0 days); insulin aspart, human (day 3843, for 0 days); insulin aspart, human (day 3922, for 0 days); insulin aspart, human (day 3998, for 0 days); insulin aspart, human (day 4081, for 0 days); insulin aspart, human (day 4148, for 0 days); insulin aspart, human (day 4211, for 0 days); insulin aspart, human (day 4308, for 0 days); insulin aspart, human (day 4397, for 0 days); insulin aspart, human (day 4461, for 0 days); insulin aspart, human (day 4533, for 0 days); insulin aspart, human (day 4595, for 0 days); insulin aspart, human (day 4649, for 0 days); insulin aspart, human (day 4698, for 0 days); insulin aspart, human (day 4756, for 0 days); insulin aspart, human (day 4824, for 0 days); insulin aspart, human (day 4887, for 14 days);</t>
  </si>
  <si>
    <t>Chronic kidney disease stage 3 (day 2341); Diabetes mellitus (day 1670, 1800, 1922, 1985, 3353, 3612, 4397); Nonproliferative retinopathy due to diabetes mellitus (day 3251, 4517); Nonproliferative retinopathy of right eye due to diabetes mellitus (day 3251); Type 1 diabetes mellitus (day 1669)</t>
  </si>
  <si>
    <t>Acute pancreatitis (EHR); Type 1 diabetes mellitus (EHR);</t>
  </si>
  <si>
    <t>-2693 days - 5002 days</t>
  </si>
  <si>
    <t>insulin aspart, human (day 36, for 2022 days); insulin aspart, human (day 2091, for 372 days); insulin aspart, human (day 2497, for 28 days); insulin aspart, human (day 2561, for 26 days); insulin aspart, human (day 2629, for 0 days); insulin aspart, human (day 2666, for 0 days); insulin aspart, human (day 2699, for 0 days); insulin aspart, human (day 2738, for 0 days); insulin aspart, human (day 2770, for 49 days); insulin aspart, human (day 2861, for 155 days); insulin aspart, human (day 3052, for 104 days); insulin aspart, human (day 3203, for 766 days);</t>
  </si>
  <si>
    <t>Type 1 diabetes mellitus (day 1516)</t>
  </si>
  <si>
    <t>10g monofilament sensation R foot normal (EHR); All pulses present in left foot (EHR); All pulses present in right foot (EHR); Type 1 diabetes mellitus (EHR);</t>
  </si>
  <si>
    <t>-833 days - 4200 days</t>
  </si>
  <si>
    <t>label</t>
  </si>
  <si>
    <t>death</t>
  </si>
  <si>
    <t>afterDrugs</t>
  </si>
  <si>
    <t>afterTreatmentProcedures</t>
  </si>
  <si>
    <t>afterDisease</t>
  </si>
  <si>
    <t>alternativeDiagnosis</t>
  </si>
  <si>
    <t>measurements</t>
  </si>
  <si>
    <t>diagnosticProcedures</t>
  </si>
  <si>
    <t>priorTreatmentProcedures</t>
  </si>
  <si>
    <t>priorDrugs</t>
  </si>
  <si>
    <t>priorDisease</t>
  </si>
  <si>
    <t>symptoms</t>
  </si>
  <si>
    <t>comorbidities</t>
  </si>
  <si>
    <t>presentation</t>
  </si>
  <si>
    <t>visitContext</t>
  </si>
  <si>
    <t>observationPeriod</t>
  </si>
  <si>
    <t>gender</t>
  </si>
  <si>
    <t>age</t>
  </si>
  <si>
    <t>personId</t>
  </si>
  <si>
    <t>keeper_label</t>
  </si>
  <si>
    <t>Label</t>
  </si>
  <si>
    <t>afterdrugs</t>
  </si>
  <si>
    <t>aftertreatmentprocedures</t>
  </si>
  <si>
    <t>afterdisease</t>
  </si>
  <si>
    <t>alternativediagnosis</t>
  </si>
  <si>
    <t>diagnosticprocedures</t>
  </si>
  <si>
    <t>priortreatmentprocedures</t>
  </si>
  <si>
    <t>priordrugs</t>
  </si>
  <si>
    <t>priordisease</t>
  </si>
  <si>
    <t>visitcontext</t>
  </si>
  <si>
    <t>observationperiod</t>
  </si>
  <si>
    <t>personid</t>
  </si>
  <si>
    <t>Yes</t>
  </si>
  <si>
    <t>No</t>
  </si>
  <si>
    <t>Yes (insulin glargine/aspart)</t>
  </si>
  <si>
    <t>Nonproliferative retinopathy</t>
  </si>
  <si>
    <t>Retinopathy</t>
  </si>
  <si>
    <t>Diabetic ketoacidosis (DKA)</t>
  </si>
  <si>
    <t>Yes (insulin aspart/glargine)</t>
  </si>
  <si>
    <t>Chronic kidney disease</t>
  </si>
  <si>
    <t>Ketoacidosis, Retinopathy</t>
  </si>
  <si>
    <t>Ketoacidosis</t>
  </si>
  <si>
    <t>Yes (insulin glargine/lispro/aspart)</t>
  </si>
  <si>
    <t>Hypothyroidism</t>
  </si>
  <si>
    <t>Yes (insulin glargine/lispro)</t>
  </si>
  <si>
    <t>Chronic kidney disease, Diabetic ketoacidosis (DKA)</t>
  </si>
  <si>
    <t>Yes (insulin glargine/aspart/lispro)</t>
  </si>
  <si>
    <t>Nephropathy</t>
  </si>
  <si>
    <t>Yes (insulin aspart)</t>
  </si>
  <si>
    <t>Yes (insulin regular/aspart)</t>
  </si>
  <si>
    <t>Mixed anxiety and depressive disorder</t>
  </si>
  <si>
    <t>Endogenous depression</t>
  </si>
  <si>
    <t>Type 1 diabetes mellitus</t>
  </si>
  <si>
    <t>Nonproliferative retinopathy, Ketoacidosis</t>
  </si>
  <si>
    <t>Depressive disorder, Type 1 diabetes mellitus</t>
  </si>
  <si>
    <t>Yes (insulin aspart/glargine/degludec)</t>
  </si>
  <si>
    <t>Yes (insulin lispro/glargine)</t>
  </si>
  <si>
    <t>Persistent proteinuria due to type 1 diabetes mellitus (Nephropathy)</t>
  </si>
  <si>
    <t>Yes (Metformin/aspart/glargine)</t>
  </si>
  <si>
    <t>Chronic kidney disease stage 3A, Nonproliferative retinopathy</t>
  </si>
  <si>
    <t>Yes (insulin regular/aspart/glargine)</t>
  </si>
  <si>
    <t>Ketoacidosis due to type 1 diabetes mellitus</t>
  </si>
  <si>
    <t>Retinopathy due to diabetes mellitus</t>
  </si>
  <si>
    <t>Yes (insulin regular/glargine/aspart)</t>
  </si>
  <si>
    <t>Yes (insulin regular/lispro/glargine)</t>
  </si>
  <si>
    <t>Herpes zoster, Type 1 diabetes mellitus</t>
  </si>
  <si>
    <t>Yes (insulin regular)</t>
  </si>
  <si>
    <t>Agitated depression, Endogenous depression</t>
  </si>
  <si>
    <t>Type 2 diabetes mellitus, Type 1 diabetes mellitus</t>
  </si>
  <si>
    <t>Type 2 diabetes mellitus</t>
  </si>
  <si>
    <t>Yes (insulin aspart/lispro)</t>
  </si>
  <si>
    <t>Diabetic ketoacidosis (DKA), Ketoacidosis due to type 1 diabetes mellitus</t>
  </si>
  <si>
    <t>Depressive disorder, Recurrent major depressive episodes</t>
  </si>
  <si>
    <t>Yes (insulin aspart/regular + Metformin)</t>
  </si>
  <si>
    <t>Chronic kidney disease stage 3, Nonproliferative retinopathy</t>
  </si>
  <si>
    <t>Clinical Label</t>
  </si>
  <si>
    <t>TX Status</t>
  </si>
  <si>
    <t>Complications Status</t>
  </si>
  <si>
    <t>afterDrugs (Insulin?)</t>
  </si>
  <si>
    <t>afterDisease (Relevant)</t>
  </si>
  <si>
    <t>Row Labels</t>
  </si>
  <si>
    <t>Grand Total</t>
  </si>
  <si>
    <t>Count of label</t>
  </si>
  <si>
    <t>Count of keeper_label</t>
  </si>
  <si>
    <t>Count of Label</t>
  </si>
  <si>
    <t>Count of Clinical Label</t>
  </si>
  <si>
    <t>Model</t>
  </si>
  <si>
    <t>GPT 5o</t>
  </si>
  <si>
    <t>%</t>
  </si>
  <si>
    <t>Copilot 4o</t>
  </si>
  <si>
    <t>Copilot 5o</t>
  </si>
  <si>
    <t>Gemini</t>
  </si>
  <si>
    <t>Probable (treatment-only)</t>
  </si>
  <si>
    <t/>
  </si>
  <si>
    <t>Unspecific symptoms</t>
  </si>
  <si>
    <t>Differential dgn: steroid-induced dm</t>
  </si>
  <si>
    <t>No case</t>
  </si>
  <si>
    <t>No insulin treatment</t>
  </si>
  <si>
    <t>Previous INS. Index date misclassification</t>
  </si>
  <si>
    <t>t2dm</t>
  </si>
  <si>
    <t>metformin</t>
  </si>
  <si>
    <t>NOTES</t>
  </si>
  <si>
    <t>DANI</t>
  </si>
  <si>
    <t>Adjudication</t>
  </si>
  <si>
    <t>Comments</t>
  </si>
  <si>
    <t>P</t>
  </si>
  <si>
    <t>C</t>
  </si>
  <si>
    <t>N</t>
  </si>
  <si>
    <t xml:space="preserve">Metformin </t>
  </si>
  <si>
    <t>diagnosed with T2 after (not exclusive but rare?)</t>
  </si>
  <si>
    <t xml:space="preserve">T2DM </t>
  </si>
  <si>
    <t>Only Dx code</t>
  </si>
  <si>
    <t>Steroid-induced diabetes ?</t>
  </si>
  <si>
    <t>PROBABLE</t>
  </si>
  <si>
    <t>CASE</t>
  </si>
  <si>
    <t>NON-CASE</t>
  </si>
  <si>
    <t>Likely index date misclassification (metformin use)</t>
  </si>
  <si>
    <t>Likely index date misclassification (TD2M)</t>
  </si>
  <si>
    <t>Likely index date misclassification (steroid use)</t>
  </si>
  <si>
    <t>Clinician-APU</t>
  </si>
  <si>
    <t>Clinician-DPA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</si>
</sst>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8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64" fontId="0" fillId="0" borderId="0" xfId="1" applyNumberFormat="1" applyFont="1"/>
    <xf numFmtId="0" fontId="3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</cellXfs>
  <cellStyles count="2">
    <cellStyle name="Normal" xfId="0" builtinId="0"/>
    <cellStyle name="Per cent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897451851852" createdVersion="8" refreshedVersion="8" minRefreshableVersion="3" recordCount="83" xr:uid="{C19FCC4B-03F0-AF40-A230-AED4C716D9D2}">
  <cacheSource type="worksheet">
    <worksheetSource ref="A1:S84" sheet="Copilot 4o"/>
  </cacheSource>
  <cacheFields count="19">
    <cacheField name="personId" numFmtId="0">
      <sharedItems containsSemiMixedTypes="0" containsString="0" containsNumber="1" containsInteger="1" minValue="3810766" maxValue="5494710200"/>
    </cacheField>
    <cacheField name="age" numFmtId="0">
      <sharedItems containsSemiMixedTypes="0" containsString="0" containsNumber="1" containsInteger="1" minValue="1" maxValue="75"/>
    </cacheField>
    <cacheField name="gender" numFmtId="0">
      <sharedItems/>
    </cacheField>
    <cacheField name="observationPeriod" numFmtId="0">
      <sharedItems/>
    </cacheField>
    <cacheField name="visitContext" numFmtId="0">
      <sharedItems/>
    </cacheField>
    <cacheField name="presentation" numFmtId="0">
      <sharedItems/>
    </cacheField>
    <cacheField name="comorbidities" numFmtId="0">
      <sharedItems containsBlank="1"/>
    </cacheField>
    <cacheField name="symptoms" numFmtId="0">
      <sharedItems containsBlank="1"/>
    </cacheField>
    <cacheField name="priorDisease" numFmtId="0">
      <sharedItems containsBlank="1"/>
    </cacheField>
    <cacheField name="priorDrugs" numFmtId="0">
      <sharedItems containsBlank="1"/>
    </cacheField>
    <cacheField name="priorTreatmentProcedures" numFmtId="0">
      <sharedItems containsNonDate="0" containsString="0" containsBlank="1"/>
    </cacheField>
    <cacheField name="diagnosticProcedures" numFmtId="0">
      <sharedItems containsNonDate="0" containsString="0" containsBlank="1"/>
    </cacheField>
    <cacheField name="measurements" numFmtId="0">
      <sharedItems containsNonDate="0" containsString="0" containsBlank="1"/>
    </cacheField>
    <cacheField name="alternativeDiagnosis" numFmtId="0">
      <sharedItems containsNonDate="0" containsString="0" containsBlank="1"/>
    </cacheField>
    <cacheField name="afterDisease" numFmtId="0">
      <sharedItems containsBlank="1" longText="1"/>
    </cacheField>
    <cacheField name="afterTreatmentProcedures" numFmtId="0">
      <sharedItems containsBlank="1"/>
    </cacheField>
    <cacheField name="afterDrugs" numFmtId="0">
      <sharedItems containsBlank="1" longText="1"/>
    </cacheField>
    <cacheField name="death" numFmtId="0">
      <sharedItems containsNonDate="0" containsString="0" containsBlank="1"/>
    </cacheField>
    <cacheField name="label" numFmtId="0">
      <sharedItems count="3">
        <s v="Probable"/>
        <s v="No Case"/>
        <s v="C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897675810185" createdVersion="8" refreshedVersion="8" minRefreshableVersion="3" recordCount="83" xr:uid="{A6FCCA5D-1900-7743-9D44-29F8AA56D08E}">
  <cacheSource type="worksheet">
    <worksheetSource ref="A1:S84" sheet="Copilot 5o"/>
  </cacheSource>
  <cacheFields count="19">
    <cacheField name="personId" numFmtId="0">
      <sharedItems containsSemiMixedTypes="0" containsString="0" containsNumber="1" containsInteger="1" minValue="3810766" maxValue="5494710200"/>
    </cacheField>
    <cacheField name="age" numFmtId="0">
      <sharedItems containsSemiMixedTypes="0" containsString="0" containsNumber="1" containsInteger="1" minValue="1" maxValue="75"/>
    </cacheField>
    <cacheField name="gender" numFmtId="0">
      <sharedItems/>
    </cacheField>
    <cacheField name="observationPeriod" numFmtId="0">
      <sharedItems/>
    </cacheField>
    <cacheField name="visitContext" numFmtId="0">
      <sharedItems/>
    </cacheField>
    <cacheField name="presentation" numFmtId="0">
      <sharedItems/>
    </cacheField>
    <cacheField name="comorbidities" numFmtId="0">
      <sharedItems containsBlank="1"/>
    </cacheField>
    <cacheField name="symptoms" numFmtId="0">
      <sharedItems containsBlank="1"/>
    </cacheField>
    <cacheField name="priorDisease" numFmtId="0">
      <sharedItems containsBlank="1"/>
    </cacheField>
    <cacheField name="priorDrugs" numFmtId="0">
      <sharedItems containsBlank="1"/>
    </cacheField>
    <cacheField name="priorTreatmentProcedures" numFmtId="0">
      <sharedItems containsNonDate="0" containsString="0" containsBlank="1"/>
    </cacheField>
    <cacheField name="diagnosticProcedures" numFmtId="0">
      <sharedItems containsNonDate="0" containsString="0" containsBlank="1"/>
    </cacheField>
    <cacheField name="measurements" numFmtId="0">
      <sharedItems containsNonDate="0" containsString="0" containsBlank="1"/>
    </cacheField>
    <cacheField name="alternativeDiagnosis" numFmtId="0">
      <sharedItems containsNonDate="0" containsString="0" containsBlank="1"/>
    </cacheField>
    <cacheField name="afterDisease" numFmtId="0">
      <sharedItems containsBlank="1" longText="1"/>
    </cacheField>
    <cacheField name="afterTreatmentProcedures" numFmtId="0">
      <sharedItems containsBlank="1"/>
    </cacheField>
    <cacheField name="afterDrugs" numFmtId="0">
      <sharedItems containsBlank="1" longText="1"/>
    </cacheField>
    <cacheField name="death" numFmtId="0">
      <sharedItems containsNonDate="0" containsString="0" containsBlank="1"/>
    </cacheField>
    <cacheField name="keeper_label" numFmtId="0">
      <sharedItems count="3">
        <s v="Probable"/>
        <s v="Case"/>
        <s v="No C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897944444441" createdVersion="8" refreshedVersion="8" minRefreshableVersion="3" recordCount="83" xr:uid="{3E517E33-AC5D-E742-9BB2-3252ED31AFCE}">
  <cacheSource type="worksheet">
    <worksheetSource ref="A1:S84" sheet="GPT 5o"/>
  </cacheSource>
  <cacheFields count="19">
    <cacheField name="personid" numFmtId="0">
      <sharedItems containsSemiMixedTypes="0" containsString="0" containsNumber="1" containsInteger="1" minValue="3810766" maxValue="5494710200"/>
    </cacheField>
    <cacheField name="age" numFmtId="0">
      <sharedItems containsSemiMixedTypes="0" containsString="0" containsNumber="1" containsInteger="1" minValue="1" maxValue="75"/>
    </cacheField>
    <cacheField name="gender" numFmtId="0">
      <sharedItems/>
    </cacheField>
    <cacheField name="observationperiod" numFmtId="0">
      <sharedItems/>
    </cacheField>
    <cacheField name="visitcontext" numFmtId="0">
      <sharedItems/>
    </cacheField>
    <cacheField name="presentation" numFmtId="0">
      <sharedItems/>
    </cacheField>
    <cacheField name="comorbidities" numFmtId="0">
      <sharedItems containsBlank="1"/>
    </cacheField>
    <cacheField name="symptoms" numFmtId="0">
      <sharedItems containsBlank="1"/>
    </cacheField>
    <cacheField name="priordisease" numFmtId="0">
      <sharedItems containsBlank="1"/>
    </cacheField>
    <cacheField name="priordrugs" numFmtId="0">
      <sharedItems containsBlank="1"/>
    </cacheField>
    <cacheField name="priortreatmentprocedures" numFmtId="0">
      <sharedItems containsNonDate="0" containsString="0" containsBlank="1"/>
    </cacheField>
    <cacheField name="diagnosticprocedures" numFmtId="0">
      <sharedItems containsNonDate="0" containsString="0" containsBlank="1"/>
    </cacheField>
    <cacheField name="measurements" numFmtId="0">
      <sharedItems containsNonDate="0" containsString="0" containsBlank="1"/>
    </cacheField>
    <cacheField name="alternativediagnosis" numFmtId="0">
      <sharedItems containsNonDate="0" containsString="0" containsBlank="1"/>
    </cacheField>
    <cacheField name="afterdisease" numFmtId="0">
      <sharedItems containsBlank="1" longText="1"/>
    </cacheField>
    <cacheField name="aftertreatmentprocedures" numFmtId="0">
      <sharedItems containsBlank="1"/>
    </cacheField>
    <cacheField name="afterdrugs" numFmtId="0">
      <sharedItems containsBlank="1" longText="1"/>
    </cacheField>
    <cacheField name="death" numFmtId="0">
      <sharedItems containsNonDate="0" containsString="0" containsBlank="1"/>
    </cacheField>
    <cacheField name="Label" numFmtId="0">
      <sharedItems count="1">
        <s v="No C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 Kostka" refreshedDate="45934.915922106484" createdVersion="8" refreshedVersion="8" minRefreshableVersion="3" recordCount="83" xr:uid="{F2A24A31-F069-B24E-9C26-4416DAF61FAA}">
  <cacheSource type="worksheet">
    <worksheetSource ref="A1:I84" sheet="Gemini"/>
  </cacheSource>
  <cacheFields count="9">
    <cacheField name="personId" numFmtId="0">
      <sharedItems containsSemiMixedTypes="0" containsString="0" containsNumber="1" containsInteger="1" minValue="70210987" maxValue="7637810268"/>
    </cacheField>
    <cacheField name="age" numFmtId="0">
      <sharedItems containsSemiMixedTypes="0" containsString="0" containsNumber="1" containsInteger="1" minValue="2" maxValue="75"/>
    </cacheField>
    <cacheField name="gender" numFmtId="0">
      <sharedItems/>
    </cacheField>
    <cacheField name="alternativeDiagnosis" numFmtId="0">
      <sharedItems containsBlank="1"/>
    </cacheField>
    <cacheField name="afterDisease (Relevant)" numFmtId="0">
      <sharedItems containsBlank="1"/>
    </cacheField>
    <cacheField name="afterDrugs (Insulin?)" numFmtId="0">
      <sharedItems/>
    </cacheField>
    <cacheField name="Complications Status" numFmtId="0">
      <sharedItems/>
    </cacheField>
    <cacheField name="TX Status" numFmtId="0">
      <sharedItems/>
    </cacheField>
    <cacheField name="Clinical Label" numFmtId="0">
      <sharedItems count="3">
        <s v="Probable"/>
        <s v="Case"/>
        <s v="No C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643110884"/>
    <n v="50"/>
    <s v="Male"/>
    <s v="-833 days - 4200 days"/>
    <s v="Office Visit"/>
    <s v="10g monofilament sensation R foot normal (EHR); All pulses present in left foot (EHR); All pulses present in right foot (EHR); Type 1 diabetes mellitus (EHR);"/>
    <m/>
    <m/>
    <m/>
    <m/>
    <m/>
    <m/>
    <m/>
    <m/>
    <s v="Type 1 diabetes mellitus (day 1516)"/>
    <m/>
    <s v="insulin aspart, human (day 36, for 2022 days); insulin aspart, human (day 2091, for 372 days); insulin aspart, human (day 2497, for 28 days); insulin aspart, human (day 2561, for 26 days); insulin aspart, human (day 2629, for 0 days); insulin aspart, human (day 2666, for 0 days); insulin aspart, human (day 2699, for 0 days); insulin aspart, human (day 2738, for 0 days); insulin aspart, human (day 2770, for 49 days); insulin aspart, human (day 2861, for 155 days); insulin aspart, human (day 3052, for 104 days); insulin aspart, human (day 3203, for 766 days);"/>
    <m/>
    <x v="0"/>
  </r>
  <r>
    <n v="706710306"/>
    <n v="48"/>
    <s v="Male"/>
    <s v="-2693 days - 5002 days"/>
    <s v="Office Visit"/>
    <s v="Acute pancreatitis (EHR); Type 1 diabetes mellitus (EHR);"/>
    <m/>
    <m/>
    <m/>
    <m/>
    <m/>
    <m/>
    <m/>
    <m/>
    <s v="Chronic kidney disease stage 3 (day 2341); Diabetes mellitus (day 1670, 1800, 1922, 1985, 3353, 3612, 4397); Nonproliferative retinopathy due to diabetes mellitus (day 3251, 4517); Nonproliferative retinopathy of right eye due to diabetes mellitus (day 3251); Type 1 diabetes mellitus (day 1669)"/>
    <m/>
    <s v="insulin glargine (day 1670, for 157 days); insulin aspart, human (day 1823, for 27 days); insulin aspart, human (day 1894, for 55 days); insulin aspart, human (day 1985, for 27 days); insulin aspart, human (day 2066, for 94 days); insulin aspart, human (day 2227, for 0 days); insulin aspart, human (day 2271, for 0 days); insulin aspart, human (day 2334, for 0 days); insulin aspart, human (day 2387, for 0 days); insulin aspart, human (day 2478, for 0 days); insulin aspart, human (day 2517, for 0 days); insulin aspart, human (day 2591, for 0 days); insulin aspart, human (day 2642, for 0 days); insulin aspart, human (day 2706, for 0 days); insulin aspart, human (day 2765, for 0 days); insulin aspart, human (day 2823, for 0 days); insulin aspart, human (day 2871, for 0 days); insulin aspart, human (day 2934, for 0 days); insulin aspart, human (day 2990, for 0 days); insulin aspart, human (day 3060, for 0 days); insulin aspart, human (day 3129, for 0 days); insulin aspart, human (day 3182, for 0 days); insulin aspart, human (day 3244, for 0 days); insulin aspart, human (day 3313, for 0 days); insulin aspart, human (day 3353, for 0 days); insulin aspart, human (day 3452, for 0 days); insulin aspart, human (day 3538, for 0 days); insulin aspart, human (day 3612, for 0 days); insulin aspart, human (day 3697, for 0 days); insulin aspart, human (day 3760, for 0 days); insulin aspart, human (day 3843, for 0 days); insulin aspart, human (day 3922, for 0 days); insulin aspart, human (day 3998, for 0 days); insulin aspart, human (day 4081, for 0 days); insulin aspart, human (day 4148, for 0 days); insulin aspart, human (day 4211, for 0 days); insulin aspart, human (day 4308, for 0 days); insulin aspart, human (day 4397, for 0 days); insulin aspart, human (day 4461, for 0 days); insulin aspart, human (day 4533, for 0 days); insulin aspart, human (day 4595, for 0 days); insulin aspart, human (day 4649, for 0 days); insulin aspart, human (day 4698, for 0 days); insulin aspart, human (day 4756, for 0 days); insulin aspart, human (day 4824, for 0 days); insulin aspart, human (day 4887, for 14 days);"/>
    <m/>
    <x v="0"/>
  </r>
  <r>
    <n v="384210994"/>
    <n v="30"/>
    <s v="Male"/>
    <s v="-7106 days - 903 days"/>
    <s v="Office Visit"/>
    <s v="Asymptomatic periapical periodontitis (EHR); Dental caries (EHR); Type 1 diabetes mellitus (EHR);"/>
    <m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ays);"/>
    <m/>
    <x v="0"/>
  </r>
  <r>
    <n v="1502010397"/>
    <n v="15"/>
    <s v="Male"/>
    <s v="-1969 days - 1588 days"/>
    <s v="Office Visit"/>
    <s v="Atypical chest pain (EHR); Type 1 diabetes mellitus (EHR);"/>
    <m/>
    <m/>
    <m/>
    <m/>
    <m/>
    <m/>
    <m/>
    <m/>
    <s v="Type 1 diabetes mellitus (day 47, 677)"/>
    <m/>
    <s v="insulin aspart, human (day 1, for 1586 days); insulin, regular, human (day 1, for 44 days); metformin (day 1091, for 29 days); insulin glargine (day 1091, for 28 days); insulin glargine (day 1155, for 0 days); metformin (day 1155, for 41 days); insulin glargine (day 1189, for 89 days); metformin (day 1238, for 69 days); insulin glargine (day 1327, for 0 days); insulin glargine (day 1359, for 0 days); insulin glargine (day 1400, for 26 days); insulin glargine (day 1482, for 0 days);"/>
    <m/>
    <x v="0"/>
  </r>
  <r>
    <n v="503810366"/>
    <n v="72"/>
    <s v="Male"/>
    <s v="-5496 days - 1202 days"/>
    <s v="Office Visit"/>
    <s v="Blood pressure finding (EHR); Diabetes mellitus (EHR); Type 1 diabetes mellitus (EHR);"/>
    <m/>
    <m/>
    <s v="Cerebrovascular accident (day -162); Reactive depression (situational) (day -2647)"/>
    <m/>
    <m/>
    <m/>
    <m/>
    <m/>
    <s v="Depressive disorder (day 157, 262); Recurrent major depressive episodes (day 350)"/>
    <m/>
    <s v="insulin aspart, human (day 33, for 60 days); insulin glargine (day 125, for 98 days); insulin glargine (day 279, for 27 days); insulin glargine (day 369, for 67 days); insulin glargine (day 510, for 27 days); insulin glargine (day 614, for 74 days); insulin glargine (day 754, for 35 days); insulin glargine (day 930, for 27 days); insulin glargine (day 991, for 73 days); insulin glargine (day 1189, for 0 days);"/>
    <m/>
    <x v="0"/>
  </r>
  <r>
    <n v="5282710166"/>
    <n v="22"/>
    <s v="Male"/>
    <s v="-3845 days - 3300 days"/>
    <s v="Office Visit"/>
    <s v="Blood pressure finding (EHR); Diabetes mellitus (EHR); Type 1 diabetes mellitus (EHR);"/>
    <m/>
    <m/>
    <m/>
    <m/>
    <m/>
    <m/>
    <m/>
    <m/>
    <s v="Diabetic ketoacidosis (day 5); Ketoacidosis due to type 1 diabetes mellitus (day 2315)"/>
    <m/>
    <s v="insulin aspart, human (day 4, for 128 days); insulin aspart, human (day 245, for 27 days); insulin aspart, human (day 326, for 0 days); insulin aspart, human (day 441, for 0 days); insulin aspart, human (day 490, for 78 days); insulin aspart, human (day 636, for 85 days); insulin aspart, human (day 753, for 0 days); insulin aspart, human (day 788, for 0 days); insulin aspart, human (day 819, for 0 days); insulin aspart, human (day 854, for 0 days); insulin aspart, human (day 887, for 87 days); insulin aspart, human (day 1034, for 160 days); insulin aspart, human (day 1247, for 90 days); insulin aspart, human (day 1380, for 857 days); insulin aspart, human (day 2286, for 84 days); insulin aspart, human (day 2406, for 120 days); insulin aspart, human (day 2568, for 194 days); insulin aspart, human (day 2825, for 176 days); insulin lispro (day 3001, for 0 days); insulin lispro (day 3049, for 18 days); insulin lispro (day 3101, for 26 days); insulin lispro (day 3169, for 126 days);"/>
    <m/>
    <x v="0"/>
  </r>
  <r>
    <n v="153910595"/>
    <n v="60"/>
    <s v="Male"/>
    <s v="-938 days - 1257 days"/>
    <s v="Office Visit"/>
    <s v="Diabetes mellitus (EHR); Insulin treated type 2 diabetes mellitus (EHR); Type 1 diabetes mellitus (EHR);"/>
    <m/>
    <m/>
    <m/>
    <m/>
    <m/>
    <m/>
    <m/>
    <m/>
    <s v="Diabetes mellitus (day 323, 406, 1006); Type 1 diabetes mellitus (day 778, 1006); Type 2 diabetes mellitus (day 406)"/>
    <m/>
    <m/>
    <m/>
    <x v="1"/>
  </r>
  <r>
    <n v="239110163"/>
    <n v="11"/>
    <s v="Female"/>
    <s v="-893 days - 7129 days"/>
    <s v="Office Visit"/>
    <s v="Diabetes mellitus (EHR); Type 1 diabetes mellitus (EHR);"/>
    <m/>
    <m/>
    <m/>
    <m/>
    <m/>
    <m/>
    <m/>
    <m/>
    <s v="Diabetes mellitus (day 1418, 1936); Retinopathy due to diabetes mellitus (day 923)"/>
    <m/>
    <s v="insulin aspart, human (day 0, for 27 days); insulin aspart, human (day 66, for 27 days); insulin aspart, human (day 150, for 0 days); insulin aspart, human (day 229, for 0 days); insulin aspart, human (day 292, for 0 days); insulin aspart, human (day 354, for 0 days); insulin aspart, human (day 385, for 0 days); insulin glargine (day 445, for 27 days); insulin aspart, human (day 488, for 0 days); insulin glargine (day 528, for 27 days); insulin aspart, human (day 528, for 0 days); insulin glargine (day 586, for 27 days); insulin aspart, human (day 586, for 0 days); insulin aspart, human (day 633, for 0 days); insulin glargine (day 661, for 77 days); insulin aspart, human (day 691, for 0 days); insulin aspart, human (day 728, for 0 days); insulin glargine (day 769, for 84 days); insulin aspart, human (day 826, for 0 days); insulin aspart, human (day 886, for 0 days); insulin glargine (day 889, for 290 days); insulin aspart, human (day 944, for 53 days); insulin aspart, human (day 1047, for 0 days); insulin aspart, human (day 1099, for 0 days); insulin aspart, human (day 1152, for 0 days); insulin aspart, human (day 1187, for 0 days); insulin glargine (day 1215, for 1178 days); insulin aspart, human (day 1236, for 0 days); insulin aspart, human (day 1272, for 0 days); insulin aspart, human (day 1315, for 0 days); insulin aspart, human (day 1369, for 0 days); insulin aspart, human (day 1414, for 0 days); insulin aspart, human (day 1449, for 0 days); insulin aspart, human (day 1524, for 0 days); insulin aspart, human (day 1566, for 0 days); insulin aspart, human (day 1600, for 15 days); insulin aspart, human (day 1673, for 0 days); insulin aspart, human (day 1715, for 53 days); insulin aspart, human (day 1812, for 0 days); insulin aspart, human (day 1845, for 0 days); insulin aspart, human (day 1909, for 30 days); insulin aspart, human (day 2012, for 0 days); insulin aspart, human (day 2055, for 21 days); insulin aspart, human (day 2126, for 0 days); insulin aspart, human (day 2168, for 0 days); insulin aspart, human (day 2254, for 28 days); insulin aspart, human (day 2320, for 0 days); insulin aspart, human (day 2366, for 0 days); insulin aspart, human (day 2405, for 0 days); insulin glargine (day 2432, for 154 days); insulin aspart, human (day 2457, for 0 days); insulin aspart, human (day 2499, for 0 days); insulin aspart, human (day 2541, for 45 days); insulin glargine (day 2624, for 0 days); insulin glargine (day 2658, for 0 days); insulin aspart, human (day 2671, for 0 days); insulin glargine (day 2700, for 21 days); insulin aspart, human (day 2721, for 0 days); insulin glargine (day 2761, for 29 days); insulin aspart, human (day 2761, for 0 days); insulin aspart, human (day 2821, for 0 days); insulin glargine (day 2848, for 28 days); insulin aspart, human (day 2876, for 0 days); insulin aspart, human (day 2909, for 0 days); insulin glargine (day 2910, for 0 days); insulin aspart, human (day 2959, for 56 days); insulin glargine (day 2986, for 29 days); insulin aspart, human (day 3052, for 0 days); insulin glargine (day 3052, for 0 days); insulin aspart, human (day 3119, for 0 days); insulin glargine (day 3119, for 0 days); insulin aspart, human (day 3157, for 0 days); insulin glargine (day 3157, for 0 days); insulin glargine (day 3205, for 0 days); insulin glargine (day 3237, for 29 days); insulin aspart, human (day 3237, for 29 days); insulin glargine (day 3316, for 28 days); insulin aspart, human (day 3316, for 28 days); insulin glargine (day 3394, for 43 days); insulin aspart, human (day 3394, for 43 days); insulin glargine (day 3497, for 0 days); insulin aspart, human (day 3532, for 0 days); insulin glargine (day 3532, for 0 days); insulin glargine (day 3566, for 0 days); insulin aspart, human (day 3566, for 0 days); insulin glargine (day 3609, for 0 days); insulin aspart, human (day 3609, for 0 days); insulin glargine (day 3640, for 0 days); insulin aspart, human (day 3640, for 0 days); insulin glargine (day 3674, for 0 days); insulin aspart, human (day 3674, for 0 days); insulin glargine (day 3720, for 0 days); insulin aspart, human (day 3720, for 0 days); insulin aspart, human (day 3771, for 0 days); insulin glargine (day 3771, for 0 days); insulin glargine (day 3806, for 0 days); insulin aspart, human (day 3806, for 29 days); insulin glargine (day 3854, for 0 days); insulin aspart, human (day 3876, for 0 days); insulin glargine (day 3892, for 0 days); insulin aspart, human (day 3912, for 56 days); insulin glargine (day 3939, for 29 days); insulin glargine (day 4018, for 0 days); insulin aspart, human (day 4018, for 27 days); insulin glargine (day 4084, for 0 days); insulin aspart, human (day 4088, for 0 days); insulin glargine (day 4120, for 0 days); insulin aspart, human (day 4120, for 0 days); insulin aspart, human (day 4163, for 0 days); insulin glargine (day 4163, for 0 days); insulin glargine (day 4217, for 0 days); insulin aspart, human (day 4217, for 0 days); insulin aspart, human (day 4261, for 58 days); insulin glargine (day 4261, for 30 days); insulin glargine (day 4367, for 0 days); insulin aspart, human (day 4367, for 0 days); insulin aspart, human (day 4414, for 0 days); insulin glargine (day 4414, for 28 days); insulin glargine (day 4478, for 0 days); insulin aspart, human (day 4478, for 0 days); insulin glargine (day 4535, for 0 days); insulin aspart, human (day 4535, for 0 days); insulin glargine (day 4567, for 0 days); insulin aspart, human (day 4567, for 0 days); insulin aspart, human (day 4641, for 0 days); insulin glargine (day 4641, for 0 days); insulin glargine (day 4694, for 1 days); insulin aspart, human (day 4694, for 1 days); insulin aspart, human (day 4749, for 0 days); insulin glargine (day 4812, for 0 days); insulin aspart, human (day 4812, for 0 days); insulin glargine (day 4847, for 0 days); insulin aspart, human (day 4884, for 0 days); insulin glargine (day 4884, for 0 days); insulin glargine (day 4924, for 0 days); insulin aspart, human (day 4924, for 0 days); insulin aspart, human (day 5001, for 0 days); insulin glargine (day 5001, for 0 days); insulin glargine (day 5036, for 29 days); insulin aspart, human (day 5036, for 29 days); insulin aspart, human (day 5134, for 0 days); insulin glargine (day 5134, for 0 days); insulin glargine (day 5179, for 0 days); insulin aspart, human (day 5215, for 0 days); insulin glargine (day 5215, for 0 days); insulin aspart, human (day 5254, for 0 days); insulin glargine (day 5254, for 0 days); insulin glargine (day 5288, for 0 days); insulin aspart, human (day 5288, for 0 days); insulin glargine (day 5374, for 0 days); insulin aspart, human (day 5374, for 0 days); insulin glargine (day 5409, for 0 days); insulin aspart, human (day 5409, for 0 days); insulin aspart, human (day 5445, for 0 days); insulin glargine (day 5445, for 0 days); insulin aspart, human (day 5516, for 0 days); insulin glargine (day 5516, for 0 days); insulin aspart, human (day 5592, for 0 days); insulin glargine (day 5592, for 0 days); insulin glargine (day 5631, for 0 days); insulin aspart, human (day 5631, for 0 days); insulin glargine (day 5673, for 0 days); insulin aspart, human (day 5708, for 0 days); insulin glargine (day 5708, for 0 days); insulin glargine (day 5759, for 0 days); insulin aspart, human (day 5759, for 0 days); insulin glargine (day 5802, for 0 days); insulin aspart, human (day 5802, for 0 days); insulin glargine (day 5870, for 0 days); insulin aspart, human (day 5919, for 0 days); insulin glargine (day 5919, for 0 days); insulin glargine (day 5961, for 24 days); insulin aspart, human (day 5961, for 24 days); insulin degludec (day 6019, for 27 days); insulin aspart, human (day 6046, for 0 days); insulin degludec (day 6107, for 0 days); insulin aspart, human (day 6107, for 0 days); insulin aspart, human (day 6139, for 0 days); insulin degludec (day 6139, for 0 days); insulin aspart, human (day 6177, for 101 days); insulin degludec (day 6195, for 17 days); insulin degludec (day 6251, for 0 days); insulin glargine (day 6310, for 0 days); insulin aspart, human (day 6310, for 883 days); insulin glargine (day 6396, for 0 days); insulin glargine (day 6737, for 0 days); insulin glargine (day 7003, for 0 days);"/>
    <m/>
    <x v="0"/>
  </r>
  <r>
    <n v="258510963"/>
    <n v="48"/>
    <s v="Male"/>
    <s v="-611 days - 763 days"/>
    <s v="Office Visit"/>
    <s v="Diabetes mellitus (EHR); Type 1 diabetes mellitus (EHR);"/>
    <m/>
    <m/>
    <m/>
    <m/>
    <m/>
    <m/>
    <m/>
    <m/>
    <m/>
    <m/>
    <s v="insulin glargine (day 0, for 30 days); insulin aspart, human (day 16, for 52 days); insulin glargine (day 92, for 27 days); insulin aspart, human (day 104, for 27 days); insulin aspart, human (day 171, for 27 days); insulin aspart, human (day 233, for 27 days); insulin aspart, human (day 358, for 76 days); insulin glargine (day 479, for 27 days); insulin aspart, human (day 479, for 27 days); insulin glargine (day 686, for 27 days); insulin aspart, human (day 686, for 27 days); insulin aspart, human (day 751, for 27 days);"/>
    <m/>
    <x v="0"/>
  </r>
  <r>
    <n v="366910461"/>
    <n v="15"/>
    <s v="Male"/>
    <s v="-3416 days - 64 days"/>
    <s v="Office Visit"/>
    <s v="Diabetes mellitus (EHR); Type 1 diabetes mellitus (EHR);"/>
    <m/>
    <m/>
    <m/>
    <m/>
    <m/>
    <m/>
    <m/>
    <m/>
    <m/>
    <m/>
    <s v="insulin aspart, human (day 3, for 30 days);"/>
    <m/>
    <x v="0"/>
  </r>
  <r>
    <n v="592410349"/>
    <n v="21"/>
    <s v="Male"/>
    <s v="-851 days - 1213 days"/>
    <s v="Office Visit"/>
    <s v="Diabetes mellitus (EHR); Mass of skin (EHR); Type 1 diabetes mellitus (EHR);"/>
    <m/>
    <m/>
    <m/>
    <m/>
    <m/>
    <m/>
    <m/>
    <m/>
    <s v="Agitated depression (day 801); Diabetes mellitus (day 511, 750, 801, 854, 1014); Endogenous depression first episode (day 638); Reactive depression (situational) (day 24); Type 1 diabetes mellitus (day 194)"/>
    <m/>
    <s v="insulin, regular, human (day 7, for 27 days); insulin, regular, human (day 84, for 27 days); insulin, regular, human (day 143, for 311 days); insulin, regular, human (day 510, for 141 days); insulin, regular, human (day 706, for 153 days); insulin, regular, human (day 909, for 181 days); insulin, regular, human (day 1154, for 52 days);"/>
    <m/>
    <x v="0"/>
  </r>
  <r>
    <n v="1094310233"/>
    <n v="4"/>
    <s v="Male"/>
    <s v="-1374 days - 6593 days"/>
    <s v="Office Visit"/>
    <s v="Diabetes mellitus (EHR); Type 1 diabetes mellitus (EHR);"/>
    <m/>
    <m/>
    <m/>
    <m/>
    <m/>
    <m/>
    <m/>
    <m/>
    <s v="Herpes zoster (day 5397); Type 1 diabetes mellitus (day 4064)"/>
    <m/>
    <s v="insulin, regular, human (day 4, for 541 days); insulin, regular, human (day 710, for 27 days); insulin, regular, human (day 770, for 118 days); insulin, regular, human (day 920, for 27 days); insulin, regular, human (day 1013, for 620 days); insulin, regular, human (day 1669, for 62 days); insulin lispro (day 1747, for 1394 days); insulin glargine (day 3111, for 0 days); insulin glargine (day 3161, for 0 days); insulin lispro (day 3177, for 27 days); insulin glargine (day 3216, for 73 days); insulin lispro (day 3244, for 125 days); insulin glargine (day 3342, for 0 days); insulin glargine (day 3385, for 0 days); insulin glargine (day 3419, for 0 days); insulin lispro (day 3419, for 27 days); insulin lispro (day 3482, for 27 days); insulin glargine (day 3482, for 29 days); insulin glargine (day 3554, for 0 days); insulin lispro (day 3573, for 27 days); insulin glargine (day 3601, for 0 days); insulin glargine (day 3636, for 0 days); insulin lispro (day 3650, for 120 days); insulin glargine (day 3671, for 49 days); insulin glargine (day 3757, for 0 days); insulin glargine (day 3792, for 29 days); insulin lispro (day 3821, for 27 days); insulin glargine (day 3874, for 0 days); insulin lispro (day 3895, for 27 days); insulin glargine (day 3912, for 0 days); insulin glargine (day 3947, for 0 days); insulin lispro (day 3965, for 83 days); insulin glargine (day 3996, for 25 days); insulin glargine (day 4052, for 0 days); insulin lispro (day 4098, for 27 days); insulin glargine (day 4098, for 0 days); insulin glargine (day 4147, for 23 days); insulin lispro (day 4170, for 27 days); insulin glargine (day 4220, for 15 days); insulin lispro (day 4235, for 27 days); insulin glargine (day 4288, for 17 days); insulin lispro (day 4305, for 27 days); insulin glargine (day 4358, for 20 days); insulin lispro (day 4378, for 27 days); insulin glargine (day 4427, for 0 days); insulin lispro (day 4441, for 27 days); insulin glargine (day 4469, for 0 days); insulin glargine (day 4511, for 30 days); insulin lispro (day 4511, for 27 days); insulin glargine (day 4582, for 0 days); insulin lispro (day 4595, for 83 days); insulin glargine (day 4623, for 52 days); insulin lispro (day 4711, for 27 days); insulin glargine (day 4711, for 0 days); insulin glargine (day 4744, for 0 days); insulin lispro (day 4772, for 27 days); insulin glargine (day 4784, for 0 days); insulin glargine (day 4815, for 25 days); insulin lispro (day 4840, for 27 days); insulin glargine (day 4907, for 0 days); insulin lispro (day 4931, for 27 days); insulin glargine (day 4942, for 0 days); insulin glargine (day 4977, for 0 days); insulin lispro (day 4989, for 27 days); insulin glargine (day 5024, for 30 days); insulin lispro (day 5054, for 27 days); insulin glargine (day 5096, for 0 days); insulin glargine (day 5131, for 0 days); insulin lispro (day 5131, for 27 days); insulin glargine (day 5166, for 20 days); insulin lispro (day 5214, for 27 days); insulin glargine (day 5253, for 29 days); insulin lispro (day 5282, for 27 days); insulin glargine (day 5325, for 0 days); insulin lispro (day 5359, for 68 days); insulin glargine (day 5359, for 0 days); insulin glargine (day 5400, for 0 days); insulin glargine (day 5435, for 0 days); insulin glargine (day 5470, for 0 days); insulin lispro (day 5470, for 27 days); insulin glargine (day 5513, for 0 days); insulin glargine (day 5549, for 0 days); insulin lispro (day 5562, for 27 days); insulin glargine (day 5590, for 30 days); insulin lispro (day 5620, for 27 days); insulin glargine (day 5674, for 0 days); insulin lispro (day 5710, for 27 days); insulin glargine (day 5710, for 0 days); insulin glargine (day 5750, for 29 days); insulin lispro (day 5779, for 27 days); insulin glargine (day 5827, for 0 days); insulin glargine (day 5869, for 0 days); insulin lispro (day 5869, for 64 days); insulin glargine (day 5906, for 0 days); insulin glargine (day 5942, for 0 days); insulin glargine (day 5984, for 0 days); insulin lispro (day 6020, for 74 days); insulin glargine (day 6020, for 0 days); insulin glargine (day 6067, for 0 days); insulin glargine (day 6108, for 0 days); insulin lispro (day 6143, for 27 days); insulin glargine (day 6143, for 27 days); insulin glargine (day 6219, for 0 days); insulin lispro (day 6219, for 70 days); insulin glargine (day 6262, for 29 days); insulin lispro (day 6339, for 27 days); insulin glargine (day 6339, for 0 days); insulin glargine (day 6374, for 0 days); insulin glargine (day 6415, for 0 days); insulin lispro (day 6415, for 27 days); insulin glargine (day 6453, for 0 days); insulin glargine (day 6487, for 0 days); insulin lispro (day 6487, for 111 days); insulin glargine (day 6521, for 0 days); insulin glargine (day 6571, for 0 days);"/>
    <m/>
    <x v="0"/>
  </r>
  <r>
    <n v="1237910593"/>
    <n v="4"/>
    <s v="Male"/>
    <s v="-552 days - 4726 days"/>
    <s v="Office Visit"/>
    <s v="Diabetes mellitus (EHR); Type 1 diabetes mellitus (EHR);"/>
    <m/>
    <m/>
    <m/>
    <m/>
    <m/>
    <m/>
    <m/>
    <m/>
    <s v="Diabetic ketoacidosis (day 3178)"/>
    <m/>
    <s v="insulin, regular, human (day 407, for 205 days); insulin, regular, human (day 672, for 56 days); insulin, regular, human (day 782, for 119 days); insulin, regular, human (day 945, for 168 days); insulin, regular, human (day 1147, for 155 days); insulin, regular, human (day 1441, for 57 days); insulin, regular, human (day 1803, for 27 days); insulin, regular, human (day 1876, for 49 days); insulin aspart, human (day 1953, for 69 days); insulin glargine (day 1953, for 0 days); insulin glargine (day 2036, for 0 days); insulin aspart, human (day 2083, for 27 days); insulin aspart, human (day 2150, for 276 days); insulin glargine (day 2371, for 0 days); insulin aspart, human (day 2462, for 224 days); insulin glargine (day 2640, for 19 days); insulin aspart, human (day 2742, for 160 days); insulin glargine (day 2875, for 0 days); insulin aspart, human (day 2954, for 74 days); insulin glargine (day 2954, for 0 days); insulin glargine (day 3001, for 0 days); insulin aspart, human (day 3070, for 150 days); insulin glargine (day 3106, for 0 days); insulin glargine (day 3162, for 0 days); insulin glargine (day 3253, for 0 days); insulin aspart, human (day 3253, for 180 days); insulin glargine (day 3351, for 0 days); insulin glargine (day 3452, for 0 days); insulin aspart, human (day 3470, for 341 days); insulin glargine (day 3505, for 0 days); insulin glargine (day 3541, for 0 days); insulin glargine (day 3606, for 0 days); insulin glargine (day 3708, for 27 days); insulin glargine (day 3784, for 0 days); insulin aspart, human (day 3857, for 270 days); insulin glargine (day 3997, for 0 days); insulin glargine (day 4065, for 0 days); insulin aspart, human (day 4170, for 266 days); insulin glargine (day 4261, for 0 days); insulin glargine (day 4346, for 0 days); insulin glargine (day 4389, for 0 days); insulin aspart, human (day 4480, for 215 days); insulin glargine (day 4480, for 0 days); insulin glargine (day 4529, for 0 days); insulin glargine (day 4598, for 0 days); insulin glargine (day 4631, for 0 days);"/>
    <m/>
    <x v="0"/>
  </r>
  <r>
    <n v="1489110030"/>
    <n v="60"/>
    <s v="Female"/>
    <s v="-5976 days - 17 days"/>
    <s v="Office Visit"/>
    <s v="Diabetes mellitus (EHR); Type 1 diabetes mellitus (EHR);"/>
    <m/>
    <m/>
    <m/>
    <m/>
    <m/>
    <m/>
    <m/>
    <m/>
    <m/>
    <m/>
    <m/>
    <m/>
    <x v="1"/>
  </r>
  <r>
    <n v="3333010111"/>
    <n v="5"/>
    <s v="Female"/>
    <s v="-1970 days - 1022 days"/>
    <s v="Office Visit"/>
    <s v="Diabetes mellitus (EHR); Diabetic ketoacidosis (EHR); Type 1 diabetes mellitus (EHR);"/>
    <m/>
    <m/>
    <m/>
    <m/>
    <m/>
    <m/>
    <m/>
    <m/>
    <m/>
    <m/>
    <s v="insulin aspart, human (day 1, for 0 days); insulin aspart, human (day 43, for 33 days); insulin aspart, human (day 118, for 76 days); insulin aspart, human (day 259, for 59 days); insulin aspart, human (day 349, for 27 days); insulin aspart, human (day 433, for 83 days); insulin aspart, human (day 553, for 389 days); insulin aspart, human (day 973, for 60 days);"/>
    <m/>
    <x v="0"/>
  </r>
  <r>
    <n v="4298610465"/>
    <n v="33"/>
    <s v="Male"/>
    <s v="-572 days - 3364 days"/>
    <s v="Office Visit"/>
    <s v="Diabetes mellitus (EHR); Type 1 diabetes mellitus (EHR);"/>
    <m/>
    <m/>
    <m/>
    <m/>
    <m/>
    <m/>
    <m/>
    <m/>
    <s v="Diabetes mellitus (day 126, 2656, 2979); Neuropathy due to diabetes mellitus (day 2445); Type 1 diabetes mellitus (day 1886)"/>
    <m/>
    <s v="insulin, regular, human (day 22, for 27 days); insulin, regular, human (day 98, for 27 days); insulin, regular, human (day 156, for 27 days); insulin, regular, human (day 225, for 27 days); insulin, regular, human (day 311, for 55 days); insulin, regular, human (day 483, for 176 days); insulin, regular, human (day 743, for 623 days); insulin, regular, human (day 1453, for 55 days); insulin, regular, human (day 1540, for 55 days); insulin, regular, human (day 1673, for 76 days); insulin, regular, human (day 1843, for 55 days); insulin, regular, human (day 1985, for 292 days); insulin, regular, human (day 2422, for 27 days); insulin, regular, human (day 2548, for 2 days); insulin, regular, human (day 2621, for 2 days); insulin, regular, human (day 2662, for 30 days); insulin, regular, human (day 2741, for 2 days); insulin, regular, human (day 2800, for 2 days); insulin, regular, human (day 2864, for 2 days); insulin, regular, human (day 2919, for 2 days); insulin, regular, human (day 2979, for 2 days); insulin, regular, human (day 3125, for 2 days);"/>
    <m/>
    <x v="0"/>
  </r>
  <r>
    <n v="863610325"/>
    <n v="23"/>
    <s v="Female"/>
    <s v="-4706 days - 3281 days"/>
    <s v="Office Visit"/>
    <s v="Diabetic ketoacidosis (EHR); Type 1 diabetes mellitus (EHR);"/>
    <m/>
    <m/>
    <m/>
    <m/>
    <m/>
    <m/>
    <m/>
    <m/>
    <m/>
    <m/>
    <s v="insulin glargine (day 7, for 0 days); insulin aspart, human (day 7, for 0 days); insulin aspart, human (day 64, for 0 days); insulin aspart, human (day 105, for 0 days); insulin glargine (day 138, for 0 days); insulin aspart, human (day 174, for 0 days); insulin aspart, human (day 228, for 0 days); insulin glargine (day 228, for 0 days); insulin aspart, human (day 307, for 0 days); insulin aspart, human (day 354, for 0 days); insulin glargine (day 354, for 0 days); insulin glargine (day 447, for 0 days); insulin aspart, human (day 447, for 0 days); insulin glargine (day 496, for 0 days); insulin aspart, human (day 496, for 0 days); insulin aspart, human (day 588, for 0 days); insulin glargine (day 650, for 0 days); insulin aspart, human (day 650, for 0 days); insulin aspart, human (day 691, for 0 days); insulin glargine (day 691, for 0 days); insulin aspart, human (day 868, for 0 days); insulin glargine (day 868, for 0 days); insulin glargine (day 1027, for 0 days); insulin aspart, human (day 1027, for 0 days); insulin glargine (day 1077, for 22 days); insulin aspart, human (day 1077, for 22 days); insulin glargine (day 1223, for 0 days); insulin aspart, human (day 1223, for 0 days); insulin aspart, human (day 1364, for 20 days); insulin glargine (day 1384, for 0 days); insulin aspart, human (day 1470, for 0 days); insulin glargine (day 1470, for 0 days); insulin aspart, human (day 1727, for 0 days); insulin glargine (day 1727, for 0 days); insulin aspart, human (day 1790, for 0 days); insulin glargine (day 1790, for 0 days); insulin aspart, human (day 1869, for 28 days); insulin glargine (day 1869, for 28 days); insulin aspart, human (day 1950, for 0 days); insulin glargine (day 1950, for 0 days); insulin aspart, human (day 2021, for 0 days); insulin glargine (day 2021, for 0 days); insulin aspart, human (day 2056, for 0 days); insulin glargine (day 2056, for 0 days); insulin aspart, human (day 2106, for 0 days); insulin glargine (day 2106, for 0 days); insulin aspart, human (day 2183, for 0 days); insulin aspart, human (day 2241, for 0 days); insulin glargine (day 2241, for 0 days); insulin aspart, human (day 2332, for 0 days); insulin glargine (day 2427, for 0 days); insulin aspart, human (day 2427, for 0 days); insulin glargine (day 2462, for 0 days); insulin aspart, human (day 2462, for 0 days); insulin aspart, human (day 2568, for 0 days); insulin glargine (day 2660, for 0 days); insulin aspart, human (day 2660, for 0 days); insulin glargine (day 2756, for 0 days); insulin aspart, human (day 2756, for 0 days); insulin glargine (day 2819, for 0 days); insulin aspart, human (day 2819, for 0 days); insulin aspart, human (day 2862, for 0 days); insulin aspart, human (day 2923, for 0 days); insulin glargine (day 2923, for 0 days); insulin glargine (day 2988, for 0 days); insulin aspart, human (day 2988, for 0 days); insulin aspart, human (day 3046, for 0 days); insulin aspart, human (day 3100, for 0 days); insulin glargine (day 3217, for 0 days); insulin aspart, human (day 3217, for 0 days); insulin aspart, human (day 3268, for 0 days); insulin glargine (day 3268, for 0 days);"/>
    <m/>
    <x v="0"/>
  </r>
  <r>
    <n v="3882310263"/>
    <n v="6"/>
    <s v="Male"/>
    <s v="-2146 days - 399 days"/>
    <s v="Office Visit"/>
    <s v="Hyperglycemia (EHR); Type 1 diabetes mellitus (EHR);"/>
    <m/>
    <m/>
    <m/>
    <m/>
    <m/>
    <m/>
    <m/>
    <m/>
    <m/>
    <m/>
    <s v="insulin aspart, human (day 9, for 27 days); insulin aspart, human (day 74, for 27 days); insulin aspart, human (day 134, for 27 days); insulin aspart, human (day 212, for 69 days); insulin degludec (day 319, for 0 days); insulin aspart, human (day 351, for 27 days); insulin degludec (day 351, for 0 days);"/>
    <m/>
    <x v="0"/>
  </r>
  <r>
    <n v="502810717"/>
    <n v="35"/>
    <s v="Male"/>
    <s v="-6642 days - 967 days"/>
    <s v="Office Visit"/>
    <s v="Ketoacidosis due to type 1 diabetes mellitus (EHR); Type 1 diabetes mellitus (EHR);"/>
    <m/>
    <m/>
    <s v="Mixed anxiety and depressive disorder (day -5692); Recurrent depression (day -930)"/>
    <m/>
    <m/>
    <m/>
    <m/>
    <m/>
    <m/>
    <m/>
    <s v="insulin glargine (day 6, for 101 days); insulin aspart, human (day 6, for 101 days); insulin glargine (day 147, for 211 days); insulin aspart, human (day 147, for 211 days); insulin glargine (day 392, for 0 days); insulin aspart, human (day 392, for 0 days); insulin aspart, human (day 425, for 56 days); insulin glargine (day 425, for 56 days); insulin aspart, human (day 512, for 140 days); insulin glargine (day 512, for 140 days); insulin glargine (day 685, for 27 days); insulin aspart, human (day 685, for 27 days); insulin glargine (day 748, for 0 days); insulin aspart, human (day 748, for 0 days); insulin aspart, human (day 782, for 0 days); insulin glargine (day 782, for 0 days); insulin glargine (day 825, for 0 days); insulin aspart, human (day 825, for 0 days); insulin glargine (day 870, for 0 days); insulin aspart, human (day 870, for 0 days); insulin glargine (day 910, for 27 days); insulin aspart, human (day 910, for 27 days);"/>
    <m/>
    <x v="0"/>
  </r>
  <r>
    <n v="811810047"/>
    <n v="66"/>
    <s v="Male"/>
    <s v="-6128 days - 302 days"/>
    <s v="Office Visit"/>
    <s v="Ketoacidosis due to type 1 diabetes mellitus (EHR); Type 1 diabetes mellitus (EHR);"/>
    <m/>
    <m/>
    <m/>
    <m/>
    <m/>
    <m/>
    <m/>
    <m/>
    <m/>
    <m/>
    <s v="insulin glargine (day 25, for 150 days); insulin aspart, human (day 28, for 0 days); insulin aspart, human (day 63, for 0 days); insulin aspart, human (day 148, for 0 days); insulin glargine (day 206, for 69 days); insulin aspart, human (day 206, for 0 days); insulin aspart, human (day 248, for 0 days); insulin aspart, human (day 298, for 0 days);"/>
    <m/>
    <x v="0"/>
  </r>
  <r>
    <n v="1626210870"/>
    <n v="4"/>
    <s v="Female"/>
    <s v="-1373 days - 1158 days"/>
    <s v="Office Visit"/>
    <s v="Ketoacidosis due to type 1 diabetes mellitus (EHR); Type 1 diabetes mellitus (EHR);"/>
    <m/>
    <m/>
    <m/>
    <m/>
    <m/>
    <m/>
    <m/>
    <m/>
    <m/>
    <m/>
    <s v="insulin glargine (day 7, for 46 days); insulin aspart, human (day 7, for 46 days); insulin aspart, human (day 160, for 27 days); insulin aspart, human (day 221, for 926 days); insulin glargine (day 221, for 309 days);"/>
    <m/>
    <x v="0"/>
  </r>
  <r>
    <n v="2213210607"/>
    <n v="45"/>
    <s v="Female"/>
    <s v="-5870 days - 361 days"/>
    <s v="Office Visit"/>
    <s v="Ketoacidosis due to type 1 diabetes mellitus (EHR);"/>
    <m/>
    <m/>
    <m/>
    <m/>
    <m/>
    <m/>
    <m/>
    <m/>
    <s v="Type 1 diabetes mellitus (day 13)"/>
    <m/>
    <s v="insulin aspart, human (day 14, for 0 days); insulin glargine (day 14, for 0 days); insulin glargine (day 55, for 0 days); insulin aspart, human (day 55, for 0 days); insulin glargine (day 124, for 54 days); insulin aspart, human (day 154, for 24 days); insulin aspart, human (day 228, for 0 days); insulin glargine (day 242, for 0 days); insulin aspart, human (day 291, for 0 days); insulin glargine (day 291, for 0 days); insulin glargine (day 343, for 0 days); insulin aspart, human (day 343, for 0 days);"/>
    <m/>
    <x v="0"/>
  </r>
  <r>
    <n v="5494710200"/>
    <n v="13"/>
    <s v="Male"/>
    <s v="-4682 days - 160 days"/>
    <s v="Office Visit"/>
    <s v="Nocturia (EHR); Type 1 diabetes mellitus (EHR);"/>
    <m/>
    <m/>
    <m/>
    <m/>
    <m/>
    <m/>
    <m/>
    <m/>
    <m/>
    <m/>
    <s v="insulin aspart, human (day 15, for 27 days); insulin degludec (day 15, for 27 days); insulin degludec (day 74, for 0 days); insulin aspart, human (day 74, for 0 days); insulin aspart, human (day 107, for 0 days); insulin degludec (day 107, for 0 days); insulin aspart, human (day 143, for 0 days); insulin degludec (day 143, for 0 days);"/>
    <m/>
    <x v="0"/>
  </r>
  <r>
    <n v="1525510677"/>
    <n v="36"/>
    <s v="Male"/>
    <s v="-1456 days - 7966 days"/>
    <s v="Office Visit"/>
    <s v="Thyrotoxicosis (EHR); Type 1 diabetes mellitus (EHR);"/>
    <m/>
    <m/>
    <m/>
    <m/>
    <m/>
    <m/>
    <m/>
    <m/>
    <s v="Diabetes mellitus (day 204); Disorder of left macula due to diabetes mellitus (day 6596); Disorder of macula due to diabetes mellitus (day 6524, 6596); Nonproliferative retinopathy due to diabetes mellitus (day 5136, 5586, 6524, 6596, 6827); Nonproliferative retinopathy of left eye due to diabetes mellitus (day 5136, 5586, 6524, 6596); Nonproliferative retinopathy of right eye due to diabetes mellitus (day 5586, 6524, 6596); Peripheral nerve disease (day 4493); Type 1 diabetes mellitus (day 245, 1184, 1227, 1281, 1342, 1609, 1771, 2051)"/>
    <m/>
    <s v="insulin aspart, human (day 218, for 152 days); insulin aspart, human (day 413, for 0 days); insulin aspart, human (day 469, for 0 days); insulin aspart, human (day 510, for 0 days); insulin aspart, human (day 566, for 0 days); insulin aspart, human (day 621, for 0 days); insulin aspart, human (day 672, for 0 days); insulin aspart, human (day 716, for 0 days); insulin aspart, human (day 775, for 0 days); insulin aspart, human (day 819, for 0 days); insulin aspart, human (day 873, for 0 days); insulin aspart, human (day 931, for 0 days); insulin aspart, human (day 972, for 0 days); insulin aspart, human (day 1041, for 0 days); insulin aspart, human (day 1076, for 0 days); insulin aspart, human (day 1136, for 0 days); insulin aspart, human (day 1189, for 0 days); insulin aspart, human (day 1230, for 0 days); insulin aspart, human (day 1294, for 0 days); insulin aspart, human (day 1337, for 0 days); insulin aspart, human (day 1395, for 0 days); insulin aspart, human (day 1437, for 0 days); insulin aspart, human (day 1498, for 0 days); insulin aspart, human (day 1541, for 0 days); insulin aspart, human (day 1595, for 0 days); insulin aspart, human (day 1631, for 0 days); insulin aspart, human (day 1679, for 0 days); insulin aspart, human (day 1735, for 0 days); insulin aspart, human (day 1791, for 0 days); insulin aspart, human (day 1833, for 0 days); insulin aspart, human (day 1881, for 0 days); insulin aspart, human (day 1940, for 0 days); insulin aspart, human (day 1974, for 0 days); insulin aspart, human (day 2037, for 0 days); insulin aspart, human (day 2092, for 0 days); insulin aspart, human (day 2140, for 0 days); insulin aspart, human (day 2199, for 0 days); insulin aspart, human (day 2234, for 0 days); insulin aspart, human (day 2287, for 0 days); insulin aspart, human (day 2346, for 28 days); insulin aspart, human (day 2428, for 0 days); insulin aspart, human (day 2485, for 0 days); insulin aspart, human (day 2521, for 0 days); insulin aspart, human (day 2581, for 0 days); insulin aspart, human (day 2631, for 0 days); insulin aspart, human (day 2674, for 0 days); insulin aspart, human (day 2744, for 0 days); insulin aspart, human (day 2785, for 0 days); insulin aspart, human (day 2870, for 0 days); insulin aspart, human (day 2906, for 0 days); insulin aspart, human (day 2968, for 0 days); insulin aspart, human (day 3003, for 0 days); insulin aspart, human (day 3065, for 0 days); insulin aspart, human (day 3122, for 0 days); insulin aspart, human (day 3176, for 0 days); insulin aspart, human (day 3220, for 0 days); insulin aspart, human (day 3271, for 0 days); insulin aspart, human (day 3317, for 0 days); insulin aspart, human (day 3369, for 0 days); insulin aspart, human (day 3430, for 0 days); insulin aspart, human (day 3486, for 0 days); insulin aspart, human (day 3534, for 0 days); insulin aspart, human (day 3584, for 0 days); insulin aspart, human (day 3628, for 164 days); insulin glargine (day 3746, for 26 days); insulin glargine (day 3810, for 21 days); insulin aspart, human (day 3831, for 0 days); insulin glargine (day 3884, for 0 days); insulin glargine (day 3918, for 0 days); insulin aspart, human (day 3918, for 0 days); insulin glargine (day 3974, for 21 days); insulin aspart, human (day 3974, for 21 days); insulin glargine (day 4051, for 0 days); insulin aspart, human (day 4122, for 0 days); insulin aspart, human (day 4269, for 0 days); insulin aspart, human (day 4325, for 0 days); insulin aspart, human (day 4424, for 0 days); insulin aspart, human (day 4510, for 0 days); insulin aspart, human (day 4629, for 0 days); insulin aspart, human (day 4689, for 0 days); insulin aspart, human (day 4836, for 0 days); insulin aspart, human (day 4927, for 0 days); insulin aspart, human (day 5054, for 0 days); insulin aspart, human (day 5091, for 0 days); insulin aspart, human (day 5146, for 0 days); insulin aspart, human (day 5208, for 0 days); insulin aspart, human (day 5406, for 0 days); insulin aspart, human (day 5560, for 0 days); insulin aspart, human (day 5671, for 0 days); insulin aspart, human (day 5759, for 0 days); insulin aspart, human (day 5819, for 0 days); insulin aspart, human (day 5936, for 0 days); insulin aspart, human (day 6041, for 0 days); insulin aspart, human (day 6091, for 0 days); insulin aspart, human (day 6195, for 0 days); insulin aspart, human (day 6260, for 27 days); insulin aspart, human (day 6518, for 0 days); insulin aspart, human (day 6560, for 0 days); insulin aspart, human (day 6676, for 0 days); insulin aspart, human (day 6772, for 4 days); insulin aspart, human (day 6928, for 0 days); insulin aspart, human (day 7019, for 0 days); insulin glargine (day 7022, for 48 days); insulin aspart, human (day 7070, for 0 days); insulin glargine (day 7103, for 0 days); insulin glargine (day 7141, for 27 days); insulin aspart, human (day 7160, for 8 days); insulin glargine (day 7208, for 25 days); insulin glargine (day 7280, for 6 days); insulin aspart, human (day 7286, for 0 days); insulin glargine (day 7330, for 0 days); insulin aspart, human (day 7379, for 0 days); insulin glargine (day 7379, for 0 days); insulin glargine (day 7415, for 0 days); insulin aspart, human (day 7440, for 0 days); insulin glargine (day 7471, for 0 days); insulin aspart, human (day 7483, for 0 days); insulin glargine (day 7506, for 0 days); insulin glargine (day 7539, for 0 days); insulin aspart, human (day 7548, for 0 days); insulin glargine (day 7593, for 0 days); insulin aspart, human (day 7630, for 0 days); insulin glargine (day 7630, for 21 days); insulin glargine (day 7692, for 24 days); insulin aspart, human (day 7692, for 0 days); insulin aspart, human (day 7771, for 0 days); insulin glargine (day 7771, for 0 days); insulin glargine (day 7814, for 0 days); insulin aspart, human (day 7814, for 0 days); insulin aspart, human (day 7863, for 0 days); insulin glargine (day 7863, for 26 days); insulin glargine (day 7923, for 0 days); insulin aspart, human (day 7937, for 0 days);"/>
    <m/>
    <x v="0"/>
  </r>
  <r>
    <n v="3810766"/>
    <n v="11"/>
    <s v="Male"/>
    <s v="-2710 days - 2698 days"/>
    <s v="Office Visit"/>
    <s v="Type 1 diabetes mellitus (EHR);"/>
    <m/>
    <m/>
    <m/>
    <m/>
    <m/>
    <m/>
    <m/>
    <m/>
    <s v="Nonproliferative retinopathy of left eye due to diabetes mellitus (day 2465)"/>
    <m/>
    <s v="insulin aspart, human (day 3, for 27 days); insulin, regular, human (day 3, for 1 days); insulin aspart, human (day 179, for 27 days); insulin glargine (day 213, for 0 days); insulin glargine (day 325, for 0 days); insulin aspart, human (day 403, for 27 days); insulin glargine (day 403, for 0 days); insulin glargine (day 456, for 30 days); insulin glargine (day 584, for 0 days); insulin aspart, human (day 598, for 186 days); insulin glargine (day 630, for 0 days); insulin glargine (day 672, for 0 days); insulin glargine (day 708, for 49 days); insulin glargine (day 805, for 0 days); insulin aspart, human (day 871, for 27 days); insulin glargine (day 871, for 0 days); insulin glargine (day 906, for 20 days); insulin aspart, human (day 934, for 27 days); insulin glargine (day 966, for 0 days); insulin glargine (day 1005, for 21 days); insulin aspart, human (day 1026, for 27 days); insulin glargine (day 1073, for 49 days); insulin aspart, human (day 1122, for 27 days); insulin glargine (day 1162, for 35 days); insulin aspart, human (day 1221, for 31 days); insulin glargine (day 1334, for 0 days); insulin aspart, human (day 1387, for 27 days); insulin glargine (day 1431, for 0 days); insulin glargine (day 1586, for 0 days); insulin glargine (day 1753, for 27 days); insulin aspart, human (day 1780, for 27 days); insulin glargine (day 1885, for 0 days); insulin aspart, human (day 1885, for 27 days); insulin aspart, human (day 2038, for 27 days); insulin glargine (day 2038, for 0 days); insulin aspart, human (day 2130, for 27 days); insulin glargine (day 2130, for 0 days); insulin aspart, human (day 2219, for 27 days); insulin glargine (day 2345, for 0 days); insulin aspart, human (day 2345, for 27 days); insulin glargine (day 2415, for 0 days); insulin aspart, human (day 2415, for 27 days); insulin glargine (day 2479, for 0 days); insulin aspart, human (day 2479, for 27 days); insulin glargine (day 2642, for 0 days); insulin aspart, human (day 2683, for 27 days); insulin glargine (day 2683, for 0 days);"/>
    <m/>
    <x v="0"/>
  </r>
  <r>
    <n v="4610438"/>
    <n v="72"/>
    <s v="Male"/>
    <s v="-7344 days - 1896 days"/>
    <s v="Office Visit"/>
    <s v="Type 1 diabetes mellitus (EHR); Type 2 diabetes mellitus (EHR);"/>
    <m/>
    <m/>
    <s v="Chronic kidney disease stage 3A (day -379)"/>
    <m/>
    <m/>
    <m/>
    <m/>
    <m/>
    <s v="Carpal tunnel syndrome (day 1788); Chronic kidney disease stage 3B (day 175)"/>
    <m/>
    <s v="insulin aspart, human (day 3, for 0 days); insulin glargine (day 41, for 27 days); insulin aspart, human (day 41, for 27 days); insulin aspart, human (day 160, for 49 days); insulin glargine (day 160, for 49 days); insulin glargine (day 461, for 27 days); insulin glargine (day 577, for 27 days); insulin aspart, human (day 681, for 27 days); insulin glargine (day 681, for 27 days); insulin aspart, human (day 794, for 27 days); insulin glargine (day 794, for 27 days); insulin glargine (day 864, for 27 days); insulin glargine (day 941, for 27 days); insulin glargine (day 1018, for 27 days); insulin glargine (day 1122, for 27 days); insulin glargine (day 1204, for 27 days); insulin glargine (day 1277, for 27 days); insulin glargine (day 1351, for 27 days); insulin glargine (day 1434, for 27 days); insulin glargine (day 1533, for 27 days); insulin glargine (day 1613, for 27 days); insulin glargine (day 1697, for 79 days); insulin glargine (day 1827, for 27 days); insulin aspart, human (day 1833, for 0 days);"/>
    <m/>
    <x v="0"/>
  </r>
  <r>
    <n v="9710983"/>
    <n v="12"/>
    <s v="Male"/>
    <s v="-2448 days - 5280 days"/>
    <s v="Office Visit"/>
    <s v="Type 1 diabetes mellitus (EHR);"/>
    <m/>
    <m/>
    <m/>
    <m/>
    <m/>
    <m/>
    <m/>
    <m/>
    <s v="Nonproliferative retinopathy of right eye due to diabetes mellitus (day 2176)"/>
    <m/>
    <s v="insulin aspart, human (day 3, for 30 days); insulin aspart, human (day 68, for 30 days); insulin aspart, human (day 130, for 56 days); insulin aspart, human (day 250, for 28 days); insulin aspart, human (day 314, for 1088 days); insulin aspart, human (day 1441, for 377 days); insulin aspart, human (day 1875, for 1910 days); insulin aspart, human (day 3839, for 27 days); insulin aspart, human (day 3931, for 78 days); insulin aspart, human (day 4078, for 63 days); insulin aspart, human (day 4248, for 110 days); insulin aspart, human (day 4441, for 27 days); insulin aspart, human (day 4499, for 27 days); insulin aspart, human (day 4689, for 136 days); insulin aspart, human (day 4870, for 112 days); insulin aspart, human (day 5066, for 103 days); insulin aspart, human (day 5255, for 27 days);"/>
    <m/>
    <x v="0"/>
  </r>
  <r>
    <n v="62910668"/>
    <n v="59"/>
    <s v="Male"/>
    <s v="-3237 days - 2951 days"/>
    <s v="Office Visit"/>
    <s v="Type 1 diabetes mellitus (EHR);"/>
    <m/>
    <m/>
    <m/>
    <m/>
    <m/>
    <m/>
    <m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ys); insulin glargine (day 279, for 0 days); insulin aspart, human (day 349, for 0 days); insulin glargine (day 349, for 0 days); insulin aspart, human (day 392, for 0 days); insulin glargine (day 434, for 0 days); insulin aspart, human (day 434, for 0 days); insulin glargine (day 475, for 0 days); insulin aspart, human (day 475, for 0 days); insulin aspart, human (day 508, for 0 days); insulin aspart, human (day 542, for 0 days); insulin glargine (day 542, for 0 days); insulin aspart, human (day 607, for 0 days); insulin glargine (day 607, for 0 days); insulin glargine (day 661, for 0 days); insulin aspart, human (day 661, for 24 days); insulin aspart, human (day 738, for 0 days); insulin glargine (day 738, for 0 days); insulin glargine (day 782, for 0 days); insulin aspart, human (day 782, for 0 days); insulin aspart, human (day 819, for 21 days); insulin glargine (day 840, for 0 days); insulin aspart, human (day 875, for 0 days); insulin glargine (day 901, for 0 days); insulin aspart, human (day 927, for 30 days); insulin glargine (day 957, for 0 days); insulin aspart, human (day 1005, for 23 days); insulin glargine (day 1028, for 0 days); insulin aspart, human (day 1081, for 24 days); insulin glargine (day 1081, for 0 days); insulin aspart, human (day 1152, for 23 days); insulin glargine (day 1152, for 0 days); insulin aspart, human (day 1217, for 54 days); insulin glargine (day 1217, for 0 days); insulin glargine (day 1271, for 0 days); insulin aspart, human (day 1322, for 22 days); insulin glargine (day 1344, for 0 days); insulin aspart, human (day 1389, for 57 days); insulin glargine (day 1389, for 0 days); insulin glargine (day 1474, for 0 days); insulin aspart, human (day 1495, for 28 days); insulin glargine (day 1523, for 0 days); insulin aspart, human (day 1593, for 0 days); insulin glargine (day 1617, for 0 days); insulin aspart, human (day 1629, for 741 days); insulin glargine (day 1699, for 0 days); insulin glargine (day 1743, for 0 days); insulin glargine (day 1825, for 0 days); insulin glargine (day 1888, for 0 days); insulin glargine (day 1958, for 0 days); insulin glargine (day 2028, for 0 days); insulin glargine (day 2113, for 0 days); insulin glargine (day 2190, for 0 days); insulin glargine (day 2252, for 0 days); insulin glargine (day 2323, for 0 days); insulin glargine (day 2407, for 0 days); insulin aspart, human (day 2407, for 567 days); insulin glargine (day 2442, for 0 days); insulin glargine (day 2518, for 0 days); insulin glargine (day 2632, for 0 days); insulin glargine (day 2714, for 0 days); insulin glargine (day 2792, for 0 days); insulin glargine (day 2869, for 0 days); insulin glargine (day 2931, for 0 days);"/>
    <m/>
    <x v="0"/>
  </r>
  <r>
    <n v="70210987"/>
    <n v="75"/>
    <s v="Male"/>
    <s v="-8396 days - 223 days"/>
    <s v="Office Visit"/>
    <s v="Type 1 diabetes mellitus (EHR);"/>
    <m/>
    <m/>
    <m/>
    <m/>
    <m/>
    <m/>
    <m/>
    <m/>
    <m/>
    <m/>
    <m/>
    <m/>
    <x v="1"/>
  </r>
  <r>
    <n v="87610928"/>
    <n v="14"/>
    <s v="Male"/>
    <s v="-607 days - 2057 days"/>
    <s v="Office Visit"/>
    <s v="Type 1 diabetes mellitus (EHR);"/>
    <m/>
    <m/>
    <m/>
    <m/>
    <m/>
    <m/>
    <m/>
    <m/>
    <s v="Retinopathy due to diabetes mellitus (day 310)"/>
    <m/>
    <s v="insulin aspart, human (day 11, for 1265 days); insulin aspart, human (day 1308, for 214 days); insulin aspart, human (day 1598, for 209 days); insulin aspart, human (day 1852, for 27 days); insulin aspart, human (day 1917, for 67 days); insulin aspart, human (day 2049, for 27 days);"/>
    <m/>
    <x v="0"/>
  </r>
  <r>
    <n v="92810885"/>
    <n v="24"/>
    <s v="Male"/>
    <s v="-4424 days - 2396 days"/>
    <s v="Office Visit"/>
    <s v="Type 1 diabetes mellitus (EHR);"/>
    <m/>
    <m/>
    <m/>
    <m/>
    <m/>
    <m/>
    <m/>
    <m/>
    <s v="Nonproliferative retinopathy of right eye due to diabetes mellitus (day 1269, 1971); Type 1 diabetes mellitus (day 555, 1862)"/>
    <m/>
    <s v="insulin aspart, human (day 176, for 27 days); insulin aspart, human (day 249, for 27 days); insulin aspart, human (day 555, for 27 days); insulin aspart, human (day 617, for 902 days); insulin aspart, human (day 1576, for 167 days); insulin aspart, human (day 1808, for 187 days); insulin aspart, human (day 2073, for 82 days); insulin aspart, human (day 2219, for 156 days);"/>
    <m/>
    <x v="0"/>
  </r>
  <r>
    <n v="129310347"/>
    <n v="30"/>
    <s v="Male"/>
    <s v="-1008 days - 1233 days"/>
    <s v="Office Visit"/>
    <s v="Type 1 diabetes mellitus (EHR);"/>
    <m/>
    <m/>
    <m/>
    <m/>
    <m/>
    <m/>
    <m/>
    <m/>
    <s v="Ketoacidosis due to type 1 diabetes mellitus (day 5)"/>
    <m/>
    <s v="insulin aspart, human (day 9, for 137 days); insulin aspart, human (day 181, for 113 days); insulin aspart, human (day 342, for 642 days); insulin aspart, human (day 1038, for 188 days);"/>
    <m/>
    <x v="0"/>
  </r>
  <r>
    <n v="214510962"/>
    <n v="67"/>
    <s v="Female"/>
    <s v="-4356 days - 3806 days"/>
    <s v="Office Visit"/>
    <s v="Type 1 diabetes mellitus (EHR);"/>
    <m/>
    <m/>
    <s v="Nephrocalcinosis (day -1793)"/>
    <m/>
    <m/>
    <m/>
    <m/>
    <m/>
    <m/>
    <m/>
    <s v="insulin glargine (day 0, for 0 days); insulin aspart, human (day 0, for 0 days); insulin aspart, human (day 241, for 0 days); insulin glargine (day 241, for 0 days); insulin glargine (day 377, for 0 days); insulin aspart, human (day 377, for 0 days); insulin glargine (day 461, for 0 days); insulin aspart, human (day 461, for 0 days); insulin glargine (day 574, for 0 days); insulin aspart, human (day 574, for 0 days); insulin aspart, human (day 670, for 0 days); insulin glargine (day 670, for 0 days); insulin aspart, human (day 759, for 0 days); insulin glargine (day 759, for 0 days); insulin glargine (day 847, for 0 days); insulin aspart, human (day 847, for 0 days); insulin aspart, human (day 945, for 0 days); insulin glargine (day 945, for 0 days); insulin aspart, human (day 1053, for 0 days); insulin glargine (day 1053, for 0 days); insulin aspart, human (day 1124, for 0 days); insulin glargine (day 1124, for 0 days); insulin glargine (day 1231, for 0 days); insulin aspart, human (day 1231, for 0 days); insulin degludec (day 1316, for 0 days); insulin aspart, human (day 1316, for 0 days); insulin degludec (day 1392, for 0 days); insulin aspart, human (day 1407, for 0 days); insulin degludec (day 1463, for 0 days); insulin aspart, human (day 1463, for 0 days); insulin degludec (day 1609, for 0 days); insulin aspart, human (day 1609, for 0 days); insulin aspart, human (day 1659, for 0 days); insulin degludec (day 1659, for 0 days); insulin degludec (day 1796, for 0 days); insulin aspart, human (day 1796, for 0 days); insulin degludec (day 1834, for 0 days); insulin aspart, human (day 1834, for 0 days); insulin degludec (day 2021, for 0 days); insulin aspart, human (day 2021, for 0 days); insulin aspart, human (day 2068, for 0 days); insulin degludec (day 2121, for 0 days); insulin degludec (day 2240, for 0 days); insulin aspart, human (day 2240, for 0 days); insulin degludec (day 2322, for 0 days); insulin aspart, human (day 2322, for 0 days); insulin aspart, human (day 2405, for 0 days); insulin degludec (day 2405, for 0 days); insulin degludec (day 2526, for 0 days); insulin aspart, human (day 2526, for 0 days); insulin degludec (day 2635, for 0 days); insulin aspart, human (day 2635, for 0 days); insulin degludec (day 2744, for 0 days); insulin aspart, human (day 2744, for 0 days); insulin degludec (day 2847, for 0 days); insulin aspart, human (day 2847, for 0 days); insulin degludec (day 2974, for 0 days); insulin aspart, human (day 2974, for 0 days); insulin degludec (day 3080, for 0 days); insulin aspart, human (day 3080, for 0 days); insulin degludec (day 3181, for 0 days); insulin aspart, human (day 3181, for 0 days); insulin aspart, human (day 3274, for 0 days); insulin degludec (day 3274, for 12 days); insulin aspart, human (day 3388, for 0 days); insulin aspart, human (day 3470, for 0 days); insulin degludec (day 3476, for 0 days); insulin degludec (day 3574, for 0 days); insulin aspart, human (day 3574, for 0 days); insulin aspart, human (day 3689, for 0 days); insulin degludec (day 3728, for 0 days); insulin aspart, human (day 3777, for 0 days); insulin degludec (day 3778, for 0 days);"/>
    <m/>
    <x v="0"/>
  </r>
  <r>
    <n v="244010017"/>
    <n v="17"/>
    <s v="Female"/>
    <s v="-2243 days - 4576 days"/>
    <s v="Office Visit"/>
    <s v="Type 1 diabetes mellitus (EHR); Vulva sore (EHR);"/>
    <m/>
    <m/>
    <m/>
    <m/>
    <m/>
    <m/>
    <m/>
    <m/>
    <s v="Diabetes mellitus (day 1714); Ketoacidotic coma due to type 1 diabetes mellitus (day 1909); Type 1 diabetes mellitus (day 104)"/>
    <m/>
    <s v="insulin, regular, human (day 6, for 408 days); insulin lispro (day 6, for 27 days); insulin lispro (day 163, for 27 days); insulin, regular, human (day 451, for 107 days); insulin lispro (day 485, for 27 days); insulin, regular, human (day 621, for 27 days); insulin, regular, human (day 697, for 27 days); insulin lispro (day 697, for 27 days); insulin aspart, human (day 733, for 27 days); insulin aspart, human (day 794, for 27 days); insulin aspart, human (day 893, for 27 days); insulin glargine (day 951, for 66 days); insulin glargine (day 1049, for 79 days); insulin aspart, human (day 1049, for 79 days); insulin aspart, human (day 1161, for 27 days); insulin glargine (day 1161, for 27 days); insulin glargine (day 1221, for 194 days); insulin aspart, human (day 1265, for 27 days); insulin aspart, human (day 1355, for 60 days); insulin glargine (day 1473, for 65 days); insulin aspart, human (day 1473, for 27 days); insulin glargine (day 1598, for 59 days); insulin aspart, human (day 1598, for 59 days); insulin aspart, human (day 1717, for 27 days); insulin glargine (day 1717, for 27 days); insulin glargine (day 1775, for 176 days); insulin aspart, human (day 1822, for 129 days); insulin glargine (day 1986, for 27 days); insulin aspart, human (day 1986, for 115 days); insulin glargine (day 2048, for 53 days); insulin aspart, human (day 2151, for 209 days); insulin glargine (day 2151, for 209 days); insulin aspart, human (day 2398, for 69 days); insulin glargine (day 2398, for 69 days); insulin aspart, human (day 2526, for 109 days); insulin glargine (day 2526, for 109 days); insulin aspart, human (day 2680, for 27 days); insulin glargine (day 2680, for 27 days); insulin aspart, human (day 2749, for 83 days); insulin glargine (day 2749, for 83 days); insulin aspart, human (day 2867, for 134 days); insulin glargine (day 2867, for 134 days); insulin aspart, human (day 3033, for 27 days); insulin glargine (day 3033, for 27 days); insulin glargine (day 3104, for 167 days); insulin aspart, human (day 3104, for 167 days); insulin glargine (day 3341, for 111 days); insulin aspart, human (day 3387, for 65 days); insulin glargine (day 3506, for 27 days); insulin aspart, human (day 3506, for 27 days); insulin aspart, human (day 3568, for 27 days); insulin glargine (day 3568, for 27 days); insulin glargine (day 3642, for 27 days); insulin aspart, human (day 3670, for 125 days); insulin glargine (day 3761, for 34 days); insulin glargine (day 3838, for 0 days); insulin aspart, human (day 3838, for 132 days); insulin glargine (day 3881, for 0 days); insulin glargine (day 3930, for 13 days); insulin aspart, human (day 4020, for 27 days); insulin glargine (day 4020, for 0 days); insulin aspart, human (day 4086, for 104 days); insulin glargine (day 4086, for 0 days); insulin glargine (day 4125, for 38 days); insulin glargine (day 4238, for 0 days); insulin aspart, human (day 4238, for 27 days); insulin aspart, human (day 4302, for 27 days); insulin glargine (day 4302, for 0 days); insulin aspart, human (day 4384, for 27 days); insulin glargine (day 4384, for 0 days); insulin aspart, human (day 4500, for 27 days); insulin glargine (day 4500, for 0 days);"/>
    <m/>
    <x v="0"/>
  </r>
  <r>
    <n v="319810053"/>
    <n v="13"/>
    <s v="Male"/>
    <s v="-1520 days - 2785 days"/>
    <s v="Office Visit"/>
    <s v="Type 1 diabetes mellitus (EHR);"/>
    <m/>
    <m/>
    <m/>
    <m/>
    <m/>
    <m/>
    <m/>
    <m/>
    <s v="Diabetes mellitus (day 314); Diabetic ketoacidosis (day 2134); Type 1 diabetes mellitus (day 1666)"/>
    <m/>
    <s v="insulin, regular, human (day 4, for 628 days); insulin, regular, human (day 665, for 583 days); insulin aspart, human (day 1159, for 61 days); insulin glargine (day 1159, for 61 days); insulin glargine (day 1284, for 27 days); insulin aspart, human (day 1306, for 27 days); insulin, regular, human (day 1306, for 27 days); insulin aspart, human (day 1368, for 27 days); insulin glargine (day 1368, for 70 days); insulin, regular, human (day 1411, for 27 days); insulin, regular, human (day 1474, for 27 days); insulin aspart, human (day 1474, for 27 days); insulin glargine (day 1508, for 27 days); insulin aspart, human (day 1533, for 27 days); insulin, regular, human (day 1533, for 27 days); insulin aspart, human (day 1609, for 68 days); insulin, regular, human (day 1609, for 27 days); insulin glargine (day 1609, for 68 days); insulin, regular, human (day 1711, for 86 days); insulin aspart, human (day 1732, for 65 days); insulin glargine (day 1770, for 111 days); insulin, regular, human (day 1895, for 27 days); insulin aspart, human (day 1895, for 27 days); insulin, regular, human (day 1971, for 27 days); insulin glargine (day 1971, for 27 days); insulin aspart, human (day 1971, for 63 days); insulin, regular, human (day 2036, for 61 days); insulin glargine (day 2070, for 92 days); insulin aspart, human (day 2070, for 27 days); insulin aspart, human (day 2135, for 27 days); insulin, regular, human (day 2135, for 27 days); insulin aspart, human (day 2218, for 62 days); insulin glargine (day 2218, for 27 days); insulin, regular, human (day 2218, for 235 days); insulin glargine (day 2334, for 119 days); insulin aspart, human (day 2334, for 119 days); insulin glargine (day 2502, for 27 days); insulin, regular, human (day 2502, for 106 days); insulin aspart, human (day 2502, for 106 days); insulin, regular, human (day 2643, for 127 days); insulin aspart, human (day 2684, for 27 days); insulin glargine (day 2719, for 51 days); insulin aspart, human (day 2743, for 27 days);"/>
    <m/>
    <x v="0"/>
  </r>
  <r>
    <n v="358110249"/>
    <n v="40"/>
    <s v="Male"/>
    <s v="-1590 days - 8662 days"/>
    <s v="Office Visit"/>
    <s v="Type 1 diabetes mellitus (EHR);"/>
    <m/>
    <m/>
    <s v="Herpes zoster ophthalmicus (day -1579, -1430)"/>
    <m/>
    <m/>
    <m/>
    <m/>
    <m/>
    <s v="Chronic kidney disease stage 3A (day 8503); Diabetes mellitus (day 189, 376, 980, 1019); Disorder of left macula due to diabetes mellitus (day 6093, 6179); Nonproliferative retinopathy of left eye due to diabetes mellitus (day 5170, 5725, 6093, 6179, 7117, 7504, 7889, 8277); Nonproliferative retinopathy of right eye due to diabetes mellitus (day 5170, 5372, 5725, 6093, 6179, 7117, 7504, 7889, 8277)"/>
    <s v="Conversion to insulin (day 1097)"/>
    <s v="metformin (day 980, for 27 days); insulin aspart, human (day 1105, for 27 days); insulin aspart, human (day 1194, for 27 days); insulin aspart, human (day 1257, for 27 days); insulin aspart, human (day 1323, for 27 days); insulin aspart, human (day 1384, for 225 days); insulin aspart, human (day 1656, for 0 days); insulin aspart, human (day 1699, for 0 days); insulin aspart, human (day 1735, for 0 days); insulin aspart, human (day 1768, for 0 days); insulin aspart, human (day 1803, for 0 days); insulin aspart, human (day 1847, for 0 days); insulin aspart, human (day 1881, for 0 days); insulin aspart, human (day 1929, for 0 days); insulin aspart, human (day 1965, for 0 days); insulin aspart, human (day 2013, for 29 days); insulin aspart, human (day 2091, for 30 days); insulin aspart, human (day 2161, for 20 days); insulin aspart, human (day 2217, for 0 days); insulin aspart, human (day 2259, for 0 days); insulin aspart, human (day 2296, for 0 days); insulin aspart, human (day 2330, for 0 days); insulin aspart, human (day 2363, for 0 days); insulin aspart, human (day 2406, for 0 days); insulin aspart, human (day 2442, for 55 days); insulin aspart, human (day 2540, for 7 days); insulin aspart, human (day 2582, for 0 days); insulin aspart, human (day 2624, for 0 days); insulin aspart, human (day 2664, for 0 days); insulin aspart, human (day 2706, for 14 days); insulin aspart, human (day 2765, for 0 days); insulin aspart, human (day 2799, for 0 days); insulin aspart, human (day 2833, for 23 days); insulin aspart, human (day 2897, for 0 days); insulin aspart, human (day 2931, for 76 days); insulin aspart, human (day 3051, for 0 days); insulin aspart, human (day 3084, for 24 days); insulin aspart, human (day 3140, for 100 days); insulin aspart, human (day 3288, for 0 days); insulin aspart, human (day 3321, for 29 days); insulin aspart, human (day 3386, for 0 days); insulin aspart, human (day 3419, for 42 days); insulin aspart, human (day 3511, for 24 days); insulin aspart, human (day 3567, for 16 days); insulin aspart, human (day 3615, for 29 days); insulin aspart, human (day 3680, for 0 days); insulin aspart, human (day 3723, for 27 days); insulin aspart, human (day 3791, for 28 days); insulin aspart, human (day 3855, for 0 days); insulin aspart, human (day 3889, for 30 days); insulin aspart, human (day 3982, for 19 days); insulin aspart, human (day 4046, for 0 days); insulin aspart, human (day 4080, for 0 days); insulin aspart, human (day 4114, for 27 days); insulin aspart, human (day 4185, for 27 days); insulin aspart, human (day 4256, for 0 days); insulin aspart, human (day 4291, for 48 days); insulin aspart, human (day 4375, for 0 days); insulin aspart, human (day 4409, for 0 days); insulin aspart, human (day 4450, for 0 days); insulin aspart, human (day 4494, for 26 days); insulin aspart, human (day 4553, for 0 days); insulin aspart, human (day 4590, for 0 days); insulin aspart, human (day 4624, for 83 days); insulin aspart, human (day 4750, for 27 days); insulin aspart, human (day 4812, for 0 days); insulin aspart, human (day 4843, for 0 days); insulin aspart, human (day 4884, for 12 days); insulin aspart, human (day 4938, for 0 days); insulin aspart, human (day 4969, for 75 days); insulin aspart, human (day 5079, for 0 days); insulin aspart, human (day 5113, for 0 days); insulin aspart, human (day 5148, for 53 days); insulin aspart, human (day 5241, for 0 days); insulin aspart, human (day 5276, for 58 days); insulin aspart, human (day 5368, for 21 days); insulin aspart, human (day 5449, for 29 days); insulin aspart, human (day 5516, for 0 days); insulin aspart, human (day 5548, for 58 days); insulin aspart, human (day 5647, for 0 days); insulin aspart, human (day 5682, for 57 days); insulin aspart, human (day 5778, for 0 days); insulin aspart, human (day 5815, for 0 days); insulin aspart, human (day 5864, for 0 days); insulin aspart, human (day 5904, for 0 days); insulin aspart, human (day 5940, for 0 days); insulin aspart, human (day 5976, for 0 days); insulin aspart, human (day 6016, for 0 days); insulin aspart, human (day 6052, for 0 days); insulin aspart, human (day 6087, for 0 days); insulin aspart, human (day 6121, for 0 days); insulin aspart, human (day 6165, for 47 days); insulin aspart, human (day 6268, for 0 days); insulin aspart, human (day 6307, for 24 days); insulin aspart, human (day 6382, for 0 days); insulin aspart, human (day 6417, for 28 days); insulin aspart, human (day 6480, for 26 days); insulin aspart, human (day 6548, for 29 days); insulin aspart, human (day 6613, for 0 days); insulin aspart, human (day 6648, for 55 days); insulin aspart, human (day 6739, for 0 days); insulin aspart, human (day 6779, for 0 days); insulin aspart, human (day 6815, for 55 days); insulin aspart, human (day 6905, for 0 days); insulin aspart, human (day 6944, for 0 days); insulin aspart, human (day 6975, for 56 days); insulin aspart, human (day 7066, for 0 days); insulin aspart, human (day 7102, for 139 days); insulin aspart, human (day 7290, for 225 days); insulin aspart, human (day 7571, for 29 days); insulin aspart, human (day 7648, for 156 days); insulin aspart, human (day 7846, for 77 days); insulin aspart, human (day 7983, for 112 days); insulin aspart, human (day 8148, for 0 days); insulin aspart, human (day 8180, for 0 days); insulin aspart, human (day 8214, for 0 days); insulin aspart, human (day 8264, for 52 days); insulin aspart, human (day 8350, for 29 days); insulin aspart, human (day 8410, for 29 days); insulin aspart, human (day 8473, for 44 days); insulin aspart, human (day 8571, for 0 days); insulin aspart, human (day 8606, for 56 days);"/>
    <m/>
    <x v="0"/>
  </r>
  <r>
    <n v="401410971"/>
    <n v="19"/>
    <s v="Female"/>
    <s v="-807 days - 2793 days"/>
    <s v="Office Visit"/>
    <s v="Type 1 diabetes mellitus (EHR);"/>
    <m/>
    <m/>
    <m/>
    <m/>
    <m/>
    <m/>
    <m/>
    <m/>
    <m/>
    <m/>
    <s v="insulin aspart, human (day 35, for 27 days); insulin aspart, human (day 103, for 27 days); insulin aspart, human (day 264, for 78 days); insulin aspart, human (day 414, for 27 days); insulin aspart, human (day 945, for 64 days); insulin aspart, human (day 1041, for 27 days); insulin aspart, human (day 1307, for 72 days); insulin, regular, human (day 1618, for 1 days); insulin, regular, human (day 1664, for 1 days); insulin, regular, human (day 1751, for 1 days); insulin aspart, human (day 1751, for 27 days); insulin, regular, human (day 1799, for 1 days); insulin aspart, human (day 1923, for 27 days); insulin aspart, human (day 2024, for 27 days); insulin, regular, human (day 2024, for 1 days); insulin, regular, human (day 2087, for 1 days); insulin glulisine, human (day 2227, for 6 days); insulin glulisine, human (day 2375, for 6 days); insulin aspart, human (day 2476, for 161 days); insulin, regular, human (day 2498, for 1 days); insulin aspart, human (day 2683, for 110 days); insulin glargine (day 2785, for 0 days);"/>
    <m/>
    <x v="0"/>
  </r>
  <r>
    <n v="461910966"/>
    <n v="31"/>
    <s v="Male"/>
    <s v="-10893 days - 2316 days"/>
    <s v="Office Visit"/>
    <s v="Type 1 diabetes mellitus (EHR);"/>
    <m/>
    <m/>
    <s v="Herpes zoster (day -6191)"/>
    <m/>
    <m/>
    <m/>
    <m/>
    <m/>
    <m/>
    <m/>
    <s v="insulin lispro (day 0, for 0 days); insulin aspart, human (day 52, for 28 days); insulin degludec (day 52, for 28 days); insulin degludec (day 111, for 0 days); insulin aspart, human (day 111, for 0 days); insulin aspart, human (day 181, for 0 days); insulin aspart, human (day 226, for 113 days); insulin degludec (day 226, for 57 days); insulin degludec (day 339, for 0 days); insulin aspart, human (day 409, for 0 days); insulin aspart, human (day 475, for 0 days); insulin degludec (day 517, for 30 days); insulin aspart, human (day 517, for 30 days); insulin aspart, human (day 722, for 0 days); insulin aspart, human (day 778, for 0 days); insulin aspart, human (day 918, for 0 days); insulin aspart, human (day 972, for 0 days); insulin aspart, human (day 1084, for 0 days); insulin degludec (day 1112, for 0 days); insulin degludec (day 1196, for 0 days); insulin aspart, human (day 1196, for 0 days); insulin aspart, human (day 1248, for 0 days); insulin aspart, human (day 1304, for 0 days); insulin degludec (day 1304, for 0 days); insulin degludec (day 1360, for 28 days); insulin aspart, human (day 1360, for 28 days); insulin aspart, human (day 1444, for 0 days); insulin degludec (day 1444, for 0 days); insulin aspart, human (day 1597, for 281 days); insulin degludec (day 1597, for 281 days); insulin aspart, human (day 1931, for 28 days); insulin degludec (day 1931, for 56 days); insulin aspart, human (day 2015, for 80 days); insulin degludec (day 2043, for 52 days); insulin degludec (day 2164, for 58 days); insulin aspart, human (day 2169, for 25 days); insulin aspart, human (day 2247, for 56 days); insulin degludec (day 2274, for 29 days);"/>
    <m/>
    <x v="0"/>
  </r>
  <r>
    <n v="476910620"/>
    <n v="72"/>
    <s v="Female"/>
    <s v="-741 days - 720 days"/>
    <s v="Office Visit"/>
    <s v="Type 1 diabetes mellitus (EHR);"/>
    <m/>
    <m/>
    <m/>
    <s v="insulin, regular, human (day -714, for 304 days); insulin, regular, human (day -374, for 315 days); insulin, regular, human (day -8, for 266 days);"/>
    <m/>
    <m/>
    <m/>
    <m/>
    <s v="Disorder of kidney due to diabetes mellitus (day 252)"/>
    <m/>
    <s v="insulin, regular, human (day 342, for 83 days); insulin, regular, human (day 517, for 27 days); insulin, regular, human (day 608, for 27 days);"/>
    <m/>
    <x v="0"/>
  </r>
  <r>
    <n v="553410900"/>
    <n v="19"/>
    <s v="Male"/>
    <s v="-7096 days - 458 days"/>
    <s v="Office Visit"/>
    <s v="Type 1 diabetes mellitus (EHR);"/>
    <m/>
    <m/>
    <m/>
    <m/>
    <m/>
    <m/>
    <m/>
    <m/>
    <m/>
    <m/>
    <s v="insulin aspart, human (day 5, for 19 days); insulin aspart, human (day 79, for 0 days); insulin aspart, human (day 202, for 0 days); insulin aspart, human (day 240, for 0 days); insulin aspart, human (day 311, for 30 days); insulin aspart, human (day 446, for 0 days);"/>
    <m/>
    <x v="0"/>
  </r>
  <r>
    <n v="679310873"/>
    <n v="13"/>
    <s v="Male"/>
    <s v="-2781 days - 5542 days"/>
    <s v="Office Visit"/>
    <s v="Type 1 diabetes mellitus (EHR);"/>
    <m/>
    <m/>
    <m/>
    <m/>
    <m/>
    <m/>
    <m/>
    <m/>
    <s v="Diabetic ketoacidosis (day 682, 3147); Nonproliferative retinopathy of left eye due to diabetes mellitus (day 4444); Nonproliferative retinopathy of right eye due to diabetes mellitus (day 1603, 4822, 5216)"/>
    <m/>
    <s v="insulin glargine (day 0, for 390 days); insulin aspart, human (day 0, for 390 days); insulin glargine (day 432, for 27 days); insulin aspart, human (day 432, for 27 days); insulin glargine (day 496, for 27 days); insulin aspart, human (day 496, for 236 days); insulin glargine (day 596, for 136 days); insulin glargine (day 784, for 0 days); insulin aspart, human (day 784, for 287 days); insulin glargine (day 826, for 0 days); insulin glargine (day 882, for 0 days); insulin glargine (day 926, for 0 days); insulin glargine (day 960, for 0 days); insulin glargine (day 993, for 51 days); insulin glargine (day 1112, for 0 days); insulin aspart, human (day 1112, for 27 days); insulin glargine (day 1174, for 0 days); insulin aspart, human (day 1174, for 125 days); insulin glargine (day 1223, for 0 days); insulin glargine (day 1272, for 0 days); insulin glargine (day 1426, for 0 days); insulin aspart, human (day 1426, for 84 days); insulin glargine (day 1483, for 0 days); insulin aspart, human (day 1542, for 27 days); insulin glargine (day 1542, for 0 days); insulin glargine (day 1609, for 0 days); insulin aspart, human (day 1609, for 211 days); insulin glargine (day 1665, for 0 days); insulin glargine (day 1708, for 0 days); insulin glargine (day 1749, for 0 days); insulin glargine (day 1793, for 0 days); insulin glargine (day 1878, for 0 days); insulin aspart, human (day 1878, for 27 days); insulin glargine (day 1972, for 0 days); insulin aspart, human (day 2003, for 27 days); insulin glargine (day 2003, for 0 days); insulin glargine (day 2147, for 0 days); insulin aspart, human (day 2147, for 84 days); insulin glargine (day 2204, for 0 days); insulin glargine (day 2266, for 0 days); insulin aspart, human (day 2266, for 181 days); insulin glargine (day 2323, for 0 days); insulin glargine (day 2365, for 0 days); insulin glargine (day 2420, for 0 days); insulin aspart, human (day 2484, for 27 days); insulin glargine (day 2484, for 0 days); insulin glargine (day 2548, for 0 days); insulin aspart, human (day 2548, for 165 days); insulin glargine (day 2603, for 0 days); insulin glargine (day 2653, for 0 days); insulin glargine (day 2686, for 0 days); insulin glargine (day 2750, for 0 days); insulin aspart, human (day 2750, for 258 days); insulin glargine (day 2807, for 0 days); insulin glargine (day 2856, for 0 days); insulin glargine (day 2890, for 0 days); insulin glargine (day 2940, for 0 days); insulin glargine (day 2981, for 0 days); insulin glargine (day 3051, for 0 days); insulin aspart, human (day 3051, for 83 days); insulin glargine (day 3107, for 0 days); insulin glargine (day 3169, for 0 days); insulin aspart, human (day 3169, for 84 days); insulin glargine (day 3226, for 0 days); insulin degludec (day 3305, for 26 days); insulin aspart, human (day 3331, for 27 days); insulin degludec (day 3382, for 0 days); insulin degludec (day 3438, for 0 days); insulin aspart, human (day 3438, for 73 days); insulin degludec (day 3484, for 0 days); insulin degludec (day 3527, for 0 days); insulin degludec (day 3583, for 49 days); insulin aspart, human (day 3583, for 124 days); insulin degludec (day 3680, for 0 days); insulin aspart, human (day 3778, for 76 days); insulin degludec (day 3778, for 49 days); insulin aspart, human (day 3934, for 119 days); insulin degludec (day 3934, for 0 days); insulin degludec (day 3991, for 35 days); insulin degludec (day 4088, for 28 days); insulin aspart, human (day 4088, for 111 days); insulin degludec (day 4172, for 0 days); insulin degludec (day 4235, for 0 days); insulin aspart, human (day 4235, for 27 days); insulin degludec (day 4296, for 0 days); insulin aspart, human (day 4296, for 83 days); insulin degludec (day 4352, for 29 days); insulin degludec (day 4612, for 0 days); insulin aspart, human (day 4612, for 27 days); insulin aspart, human (day 4670, for 27 days); insulin degludec (day 4670, for 0 days); insulin aspart, human (day 4746, for 71 days); insulin degludec (day 4746, for 0 days); insulin degludec (day 4781, for 36 days); insulin degludec (day 4864, for 100 days); insulin aspart, human (day 4864, for 100 days); insulin degludec (day 4998, for 118 days); insulin aspart, human (day 4998, for 118 days); insulin degludec (day 5153, for 0 days); insulin aspart, human (day 5153, for 0 days); insulin degludec (day 5189, for 48 days); insulin aspart, human (day 5189, for 48 days); insulin aspart, human (day 5277, for 59 days); insulin degludec (day 5277, for 59 days); insulin aspart, human (day 5369, for 156 days); insulin degludec (day 5369, for 156 days);"/>
    <m/>
    <x v="0"/>
  </r>
  <r>
    <n v="726310128"/>
    <n v="17"/>
    <s v="Female"/>
    <s v="-2750 days - 3041 days"/>
    <s v="Office Visit"/>
    <s v="Type 1 diabetes mellitus (EHR);"/>
    <m/>
    <m/>
    <m/>
    <m/>
    <m/>
    <m/>
    <m/>
    <m/>
    <s v="Diabetes mellitus (day 2534)"/>
    <m/>
    <s v="insulin aspart, human (day 7, for 0 days); insulin aspart, human (day 41, for 0 days); insulin aspart, human (day 154, for 22 days); insulin aspart, human (day 316, for 0 days); insulin aspart, human (day 479, for 0 days); insulin aspart, human (day 800, for 0 days); insulin aspart, human (day 846, for 0 days); insulin aspart, human (day 1123, for 0 days); insulin aspart, human (day 1178, for 0 days); insulin aspart, human (day 1508, for 0 days); insulin aspart, human (day 1576, for 0 days); insulin aspart, human (day 1646, for 0 days); insulin aspart, human (day 1704, for 0 days); insulin aspart, human (day 1759, for 0 days); insulin aspart, human (day 1826, for 0 days); insulin aspart, human (day 1884, for 0 days); insulin aspart, human (day 1940, for 0 days); insulin aspart, human (day 1989, for 0 days); insulin aspart, human (day 2037, for 0 days); insulin aspart, human (day 2073, for 0 days); insulin aspart, human (day 2192, for 0 days); insulin aspart, human (day 2226, for 0 days); insulin aspart, human (day 2276, for 26 days); insulin aspart, human (day 2387, for 0 days); insulin aspart, human (day 2534, for 22 days); insulin aspart, human (day 2589, for 0 days); insulin aspart, human (day 2661, for 0 days); insulin aspart, human (day 2701, for 0 days); insulin degludec (day 2703, for 0 days); insulin degludec (day 2740, for 0 days); insulin degludec (day 2778, for 0 days); insulin aspart, human (day 2778, for 0 days); insulin degludec (day 2810, for 0 days); insulin aspart, human (day 2810, for 0 days); insulin degludec (day 2856, for 0 days); insulin aspart, human (day 2856, for 0 days); insulin aspart, human (day 2907, for 0 days); insulin degludec (day 2907, for 0 days); insulin aspart, human (day 2963, for 0 days); insulin degludec (day 2963, for 0 days); insulin aspart, human (day 2996, for 0 days); insulin degludec (day 2996, for 0 days);"/>
    <m/>
    <x v="0"/>
  </r>
  <r>
    <n v="740710960"/>
    <n v="12"/>
    <s v="Female"/>
    <s v="-4109 days - 3892 days"/>
    <s v="Office Visit"/>
    <s v="Type 1 diabetes mellitus (EHR);"/>
    <m/>
    <m/>
    <m/>
    <m/>
    <m/>
    <m/>
    <m/>
    <m/>
    <s v="Nonproliferative retinopathy of left eye due to diabetes mellitus (day 1909, 2798, 3771)"/>
    <m/>
    <s v="insulin aspart, human (day 7, for 27 days); insulin glargine (day 64, for 0 days); insulin aspart, human (day 75, for 27 days); insulin glargine (day 103, for 0 days); insulin aspart, human (day 135, for 548 days); insulin glargine (day 467, for 0 days); insulin aspart, human (day 730, for 1375 days); insulin glargine (day 778, for 0 days); insulin glargine (day 881, for 0 days); insulin glargine (day 1153, for 0 days); insulin glargine (day 1289, for 0 days); insulin glargine (day 1514, for 0 days); insulin glargine (day 1881, for 0 days); insulin aspart, human (day 2140, for 80 days); insulin glargine (day 2168, for 0 days); insulin glargine (day 2228, for 0 days); insulin aspart, human (day 2267, for 232 days); insulin aspart, human (day 2561, for 503 days); insulin glargine (day 3050, for 0 days); insulin aspart, human (day 3116, for 99 days); insulin aspart, human (day 3254, for 3 days); insulin aspart, human (day 3305, for 3 days); insulin aspart, human (day 3346, for 3 days); insulin aspart, human (day 3387, for 0 days); insulin aspart, human (day 3424, for 42 days); insulin aspart, human (day 3506, for 18 days); insulin aspart, human (day 3568, for 3 days); insulin aspart, human (day 3611, for 3 days); insulin aspart, human (day 3667, for 39 days); insulin aspart, human (day 3737, for 104 days);"/>
    <m/>
    <x v="0"/>
  </r>
  <r>
    <n v="758210667"/>
    <n v="7"/>
    <s v="Male"/>
    <s v="-2681 days - 483 days"/>
    <s v="Office Visit"/>
    <s v="Type 1 diabetes mellitus (EHR);"/>
    <m/>
    <m/>
    <m/>
    <m/>
    <m/>
    <m/>
    <m/>
    <m/>
    <m/>
    <m/>
    <s v="insulin aspart, human (day 3, for 37 days); insulin aspart, human (day 258, for 27 days); insulin aspart, human (day 344, for 151 days);"/>
    <m/>
    <x v="0"/>
  </r>
  <r>
    <n v="772810288"/>
    <n v="15"/>
    <s v="Male"/>
    <s v="-5181 days - 2942 days"/>
    <s v="Office Visit"/>
    <s v="Type 1 diabetes mellitus (EHR);"/>
    <m/>
    <m/>
    <m/>
    <m/>
    <m/>
    <m/>
    <m/>
    <m/>
    <m/>
    <m/>
    <s v="insulin glargine (day 0, for 0 days); insulin aspart, human (day 0, for 0 days); insulin glargine (day 45, for 0 days); insulin aspart, human (day 45, for 0 days); insulin aspart, human (day 356, for 0 days); insulin aspart, human (day 389, for 0 days); insulin aspart, human (day 430, for 28 days); insulin glargine (day 473, for 0 days); insulin aspart, human (day 502, for 0 days); insulin glargine (day 535, for 0 days); insulin aspart, human (day 535, for 84 days); insulin glargine (day 619, for 0 days); insulin aspart, human (day 658, for 55 days); insulin glargine (day 662, for 0 days); insulin glargine (day 713, for 0 days); insulin aspart, human (day 753, for 0 days); insulin glargine (day 774, for 0 days); insulin aspart, human (day 788, for 78 days); insulin glargine (day 836, for 30 days); insulin glargine (day 903, for 0 days); insulin aspart, human (day 903, for 0 days); insulin aspart, human (day 934, for 67 days); insulin glargine (day 959, for 0 days); insulin glargine (day 998, for 0 days); insulin aspart, human (day 1035, for 0 days); insulin glargine (day 1043, for 0 days); insulin glargine (day 1095, for 0 days); insulin aspart, human (day 1095, for 0 days); insulin aspart, human (day 1127, for 77 days); insulin glargine (day 1148, for 21 days); insulin glargine (day 1235, for 39 days); insulin aspart, human (day 1235, for 63 days); insulin glargine (day 1312, for 66 days); insulin aspart, human (day 1333, for 67 days); insulin aspart, human (day 1431, for 105 days); insulin glargine (day 1431, for 105 days); insulin aspart, human (day 1571, for 35 days); insulin glargine (day 1571, for 35 days); insulin glargine (day 1659, for 0 days); insulin aspart, human (day 1659, for 0 days); insulin aspart, human (day 1697, for 42 days); insulin glargine (day 1697, for 42 days); insulin glargine (day 1782, for 17 days); insulin aspart, human (day 1782, for 17 days); insulin aspart, human (day 1866, for 0 days); insulin glargine (day 1866, for 0 days); insulin glargine (day 1928, for 80 days); insulin aspart, human (day 1928, for 80 days); insulin aspart, human (day 2056, for 20 days); insulin glargine (day 2056, for 20 days); insulin aspart, human (day 2120, for 0 days); insulin glargine (day 2120, for 0 days); insulin aspart, human (day 2183, for 0 days); insulin glargine (day 2183, for 0 days); insulin glargine (day 2264, for 21 days); insulin aspart, human (day 2264, for 21 days); insulin aspart, human (day 2317, for 0 days); insulin glargine (day 2317, for 0 days); insulin glargine (day 2593, for 0 days); insulin aspart, human (day 2593, for 0 days); insulin glargine (day 2667, for 0 days); insulin aspart, human (day 2667, for 0 days); insulin aspart, human (day 2770, for 0 days); insulin aspart, human (day 2806, for 0 days);"/>
    <m/>
    <x v="0"/>
  </r>
  <r>
    <n v="795410971"/>
    <n v="2"/>
    <s v="Female"/>
    <s v="-721 days - 3490 days"/>
    <s v="Office Visit"/>
    <s v="Type 1 diabetes mellitus (EHR);"/>
    <m/>
    <m/>
    <m/>
    <m/>
    <m/>
    <m/>
    <m/>
    <m/>
    <m/>
    <m/>
    <m/>
    <m/>
    <x v="1"/>
  </r>
  <r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aspart, human (day 83, for 27 days); insulin aspart, human (day 173, for 27 days); insulin, regular, human (day 246, for 2 days); insulin aspart, human (day 361, for 0 days); insulin aspart, human (day 445, for 0 days); insulin aspart, human (day 481, for 0 days); insulin aspart, human (day 552, for 27 days); insulin aspart, human (day 624, for 27 days); insulin aspart, human (day 713, for 0 days); insulin aspart, human (day 795, for 97 days); insulin aspart, human (day 931, for 75 days); insulin aspart, human (day 1055, for 76 days); insulin aspart, human (day 1182, for 278 days); insulin aspart, human (day 1496, for 229 days); insulin aspart, human (day 1768, for 65 days);"/>
    <m/>
    <x v="0"/>
  </r>
  <r>
    <n v="831210567"/>
    <n v="40"/>
    <s v="Male"/>
    <s v="-373 days - 6403 days"/>
    <s v="Office Visit"/>
    <s v="Type 1 diabetes mellitus (EHR);"/>
    <m/>
    <m/>
    <m/>
    <m/>
    <m/>
    <m/>
    <m/>
    <m/>
    <s v="Diabetes mellitus (day 4032); Persistent proteinuria due to type 1 diabetes mellitus (day 2844); Type 1 diabetes mellitus (day 2102)"/>
    <m/>
    <s v="insulin, regular, human (day 1076, for 31 days); insulin, regular, human (day 1174, for 27 days); insulin, regular, human (day 1286, for 27 days); insulin, regular, human (day 1364, for 27 days); insulin, regular, human (day 1463, for 27 days); insulin, regular, human (day 1538, for 76 days); insulin, regular, human (day 1692, for 27 days); insulin, regular, human (day 1804, for 27 days); insulin, regular, human (day 1910, for 27 days); insulin, regular, human (day 1997, for 27 days); insulin, regular, human (day 2101, for 27 days); insulin, regular, human (day 2191, for 27 days); insulin, regular, human (day 2252, for 27 days); insulin, regular, human (day 2346, for 27 days); insulin, regular, human (day 2416, for 27 days); insulin aspart, human (day 2427, for 79 days); insulin aspart, human (day 2547, for 27 days); insulin aspart, human (day 2616, for 27 days); insulin aspart, human (day 2679, for 76 days); insulin aspart, human (day 2799, for 27 days); insulin aspart, human (day 2868, for 27 days); insulin aspart, human (day 2926, for 27 days); insulin aspart, human (day 2991, for 27 days); insulin aspart, human (day 3054, for 27 days); insulin aspart, human (day 3114, for 78 days); insulin aspart, human (day 3290, for 83 days); insulin aspart, human (day 3411, for 79 days); insulin aspart, human (day 3530, for 27 days); insulin aspart, human (day 3596, for 27 days); insulin aspart, human (day 3654, for 27 days); insulin aspart, human (day 3719, for 27 days); insulin aspart, human (day 3778, for 27 days); insulin aspart, human (day 3837, for 27 days); insulin aspart, human (day 3906, for 27 days); insulin aspart, human (day 3968, for 27 days); insulin aspart, human (day 4030, for 84 days); insulin aspart, human (day 4149, for 27 days); insulin aspart, human (day 4208, for 27 days); insulin aspart, human (day 4268, for 127 days); insulin aspart, human (day 4437, for 27 days); insulin aspart, human (day 4555, for 27 days); insulin aspart, human (day 4622, for 27 days); insulin aspart, human (day 4689, for 27 days); insulin aspart, human (day 4760, for 27 days); insulin aspart, human (day 4842, for 27 days); insulin aspart, human (day 4907, for 27 days); insulin aspart, human (day 4977, for 27 days); insulin aspart, human (day 5063, for 27 days); insulin aspart, human (day 5143, for 27 days); insulin aspart, human (day 5213, for 27 days); insulin aspart, human (day 5279, for 27 days); insulin aspart, human (day 5361, for 27 days); insulin aspart, human (day 5434, for 27 days); insulin aspart, human (day 5494, for 27 days); insulin aspart, human (day 5585, for 27 days); insulin aspart, human (day 5683, for 27 days); insulin aspart, human (day 5741, for 84 days); insulin aspart, human (day 5892, for 27 days); insulin aspart, human (day 5971, for 83 days); insulin aspart, human (day 6109, for 27 days); insulin aspart, human (day 6189, for 82 days); insulin aspart, human (day 6314, for 83 days);"/>
    <m/>
    <x v="0"/>
  </r>
  <r>
    <n v="878310732"/>
    <n v="31"/>
    <s v="Female"/>
    <s v="-862 days - 447 days"/>
    <s v="Office Visit"/>
    <s v="Type 1 diabetes mellitus (EHR);"/>
    <m/>
    <m/>
    <m/>
    <m/>
    <m/>
    <m/>
    <m/>
    <m/>
    <m/>
    <m/>
    <m/>
    <m/>
    <x v="1"/>
  </r>
  <r>
    <n v="880910162"/>
    <n v="28"/>
    <s v="Male"/>
    <s v="-3867 days - 3532 days"/>
    <s v="Office Visit"/>
    <s v="Type 1 diabetes mellitus (EHR);"/>
    <m/>
    <m/>
    <m/>
    <m/>
    <m/>
    <m/>
    <m/>
    <m/>
    <m/>
    <m/>
    <s v="insulin aspart, human (day 18, for 0 days); insulin glargine (day 18, for 27 days); insulin glargine (day 101, for 61 days); insulin aspart, human (day 101, for 0 days); insulin aspart, human (day 135, for 0 days); insulin glargine (day 226, for 27 days); insulin glargine (day 291, for 27 days); insulin aspart, human (day 291, for 0 days); insulin aspart, human (day 443, for 0 days); insulin glargine (day 472, for 27 days); insulin aspart, human (day 603, for 0 days); insulin glargine (day 632, for 27 days); insulin glargine (day 735, for 27 days); insulin aspart, human (day 735, for 0 days); insulin aspart, human (day 822, for 0 days); insulin glargine (day 822, for 27 days); insulin glargine (day 925, for 27 days); insulin aspart, human (day 925, for 0 days); insulin aspart, human (day 1017, for 0 days); insulin glargine (day 1017, for 27 days); insulin aspart, human (day 1100, for 0 days); insulin glargine (day 1100, for 27 days); insulin glargine (day 1173, for 27 days); insulin aspart, human (day 1173, for 0 days); insulin aspart, human (day 1246, for 18 days); insulin glargine (day 1246, for 45 days); insulin aspart, human (day 1402, for 0 days); insulin glargine (day 1402, for 27 days); insulin glargine (day 1473, for 27 days); insulin aspart, human (day 1473, for 0 days); insulin aspart, human (day 1537, for 0 days); insulin glargine (day 1556, for 127 days); insulin aspart, human (day 1584, for 0 days); insulin aspart, human (day 1656, for 0 days); insulin aspart, human (day 1753, for 0 days); insulin glargine (day 1753, for 27 days); insulin glargine (day 1821, for 0 days); insulin aspart, human (day 1821, for 0 days); insulin glargine (day 1884, for 0 days); insulin aspart, human (day 1928, for 0 days); insulin glargine (day 1963, for 0 days); insulin aspart, human (day 2003, for 0 days); insulin aspart, human (day 2083, for 0 days); insulin glargine (day 2102, for 14 days); insulin aspart, human (day 2171, for 0 days); insulin glargine (day 2247, for 0 days); insulin aspart, human (day 2256, for 0 days); insulin aspart, human (day 2306, for 0 days); insulin glargine (day 2327, for 0 days); insulin aspart, human (day 2390, for 0 days); insulin glargine (day 2390, for 0 days); insulin glargine (day 2464, for 0 days); insulin aspart, human (day 2528, for 0 days); insulin glargine (day 2528, for 0 days); insulin aspart, human (day 2601, for 0 days); insulin glargine (day 2601, for 0 days); insulin glargine (day 2643, for 0 days); insulin aspart, human (day 2643, for 0 days); insulin glargine (day 2733, for 0 days); insulin aspart, human (day 2758, for 0 days); insulin glargine (day 2804, for 0 days); insulin aspart, human (day 2829, for 0 days); insulin glargine (day 2859, for 0 days); insulin aspart, human (day 2886, for 0 days); insulin aspart, human (day 2941, for 0 days); insulin glargine (day 2941, for 0 days); insulin aspart, human (day 3006, for 0 days); insulin glargine (day 3006, for 0 days); insulin glargine (day 3067, for 0 days); insulin aspart, human (day 3090, for 0 days); insulin glargine (day 3144, for 0 days); insulin aspart, human (day 3159, for 0 days); insulin aspart, human (day 3208, for 0 days); insulin glargine (day 3208, for 0 days); insulin glargine (day 3283, for 0 days); insulin aspart, human (day 3306, for 0 days); insulin glargine (day 3347, for 0 days); insulin aspart, human (day 3377, for 0 days); insulin glargine (day 3424, for 0 days); insulin aspart, human (day 3444, for 0 days); insulin glargine (day 3483, for 0 days); insulin aspart, human (day 3515, for 0 days);"/>
    <m/>
    <x v="0"/>
  </r>
  <r>
    <n v="888710791"/>
    <n v="12"/>
    <s v="Female"/>
    <s v="-4300 days - 2667 days"/>
    <s v="Office Visit"/>
    <s v="Type 1 diabetes mellitus (EHR);"/>
    <m/>
    <m/>
    <m/>
    <m/>
    <m/>
    <m/>
    <m/>
    <m/>
    <m/>
    <m/>
    <s v="insulin aspart, human (day 2, for 27 days); insulin aspart, human (day 61, for 815 days); insulin aspart, human (day 929, for 1742 days);"/>
    <m/>
    <x v="0"/>
  </r>
  <r>
    <n v="932610840"/>
    <n v="13"/>
    <s v="Female"/>
    <s v="-2926 days - 3431 days"/>
    <s v="Office Visit"/>
    <s v="Type 1 diabetes mellitus (EHR);"/>
    <s v="Autoimmune hepatitis (day -61)"/>
    <m/>
    <s v="Steroid-induced diabetes (day -64)"/>
    <m/>
    <m/>
    <m/>
    <m/>
    <m/>
    <m/>
    <m/>
    <s v="insulin aspart, human (day 0, for 27 days);"/>
    <m/>
    <x v="0"/>
  </r>
  <r>
    <n v="954410764"/>
    <n v="19"/>
    <s v="Female"/>
    <s v="-3400 days - 4459 days"/>
    <s v="Office Visit"/>
    <s v="Type 1 diabetes mellitus (EHR);"/>
    <m/>
    <m/>
    <m/>
    <m/>
    <m/>
    <m/>
    <m/>
    <m/>
    <m/>
    <m/>
    <s v="insulin aspart, human (day 0, for 37 days); insulin aspart, human (day 70, for 14 days); insulin aspart, human (day 128, for 21 days); insulin aspart, human (day 181, for 0 days); insulin aspart, human (day 213, for 0 days); insulin aspart, human (day 269, for 0 days); insulin aspart, human (day 321, for 0 days); insulin aspart, human (day 359, for 15 days); insulin aspart, human (day 666, for 0 days); insulin aspart, human (day 700, for 0 days); insulin aspart, human (day 860, for 0 days); insulin aspart, human (day 969, for 28 days); insulin aspart, human (day 1154, for 29 days); insulin aspart, human (day 1505, for 29 days); insulin aspart, human (day 1711, for 29 days); insulin aspart, human (day 1948, for 29 days); insulin aspart, human (day 2142, for 29 days); insulin aspart, human (day 2354, for 29 days); insulin aspart, human (day 2597, for 29 days); insulin glargine (day 2676, for 47 days); insulin glargine (day 2794, for 0 days); insulin glargine (day 2841, for 23 days); insulin aspart, human (day 2841, for 29 days); insulin glargine (day 2898, for 49 days); insulin glargine (day 2998, for 0 days); insulin aspart, human (day 2998, for 29 days); insulin aspart, human (day 3069, for 29 days); insulin glargine (day 3069, for 0 days); insulin glargine (day 3142, for 30 days); insulin glargine (day 3205, for 0 days); insulin glargine (day 3237, for 20 days); insulin glargine (day 3292, for 0 days); insulin glargine (day 3332, for 2 days); insulin glargine (day 3373, for 2 days); insulin aspart, human (day 3373, for 29 days); insulin glargine (day 3447, for 2 days); insulin glargine (day 3500, for 2 days); insulin glargine (day 3549, for 2 days); insulin aspart, human (day 3550, for 29 days); insulin glargine (day 3625, for 2 days); insulin glargine (day 3705, for 2 days); insulin glargine (day 3767, for 2 days); insulin glargine (day 3807, for 31 days); insulin aspart, human (day 3844, for 89 days); insulin glargine (day 3870, for 4 days); insulin aspart, human (day 4020, for 3 days); insulin aspart, human (day 4055, for 3 days); insulin aspart, human (day 4130, for 3 days); insulin aspart, human (day 4202, for 3 days); insulin aspart, human (day 4249, for 3 days); insulin aspart, human (day 4284, for 3 days); insulin aspart, human (day 4321, for 3 days); insulin aspart, human (day 4392, for 3 days);"/>
    <m/>
    <x v="0"/>
  </r>
  <r>
    <n v="959010761"/>
    <n v="9"/>
    <s v="Female"/>
    <s v="-3233 days - 5447 days"/>
    <s v="Office Visit"/>
    <s v="Type 1 diabetes mellitus (EHR);"/>
    <m/>
    <m/>
    <m/>
    <m/>
    <m/>
    <m/>
    <m/>
    <m/>
    <s v="Depressive disorder (day 3611); Ketoacidosis due to type 1 diabetes mellitus (day 3149); Nonproliferative retinopathy of left eye due to diabetes mellitus (day 1262, 1968, 4751, 4852); Nonproliferative retinopathy of right eye due to diabetes mellitus (day 4299, 4751, 4852)"/>
    <m/>
    <s v="insulin, regular, human (day 5, for 97 days); insulin aspart, human (day 5, for 0 days); insulin aspart, human (day 93, for 27 days); insulin, regular, human (day 258, for 27 days); insulin aspart, human (day 258, for 37 days); insulin, regular, human (day 322, for 27 days); insulin aspart, human (day 364, for 61 days); insulin, regular, human (day 422, for 81 days); insulin aspart, human (day 511, for 27 days); insulin, regular, human (day 580, for 27 days); insulin aspart, human (day 692, for 112 days); insulin, regular, human (day 692, for 27 days); insulin, regular, human (day 777, for 27 days); insulin, regular, human (day 841, for 27 days); insulin aspart, human (day 841, for 27 days); insulin, regular, human (day 936, for 27 days); insulin aspart, human (day 936, for 27 days); insulin glargine (day 961, for 27 days); insulin aspart, human (day 999, for 491 days); insulin glargine (day 1062, for 27 days); insulin glargine (day 1155, for 27 days); insulin glargine (day 1213, for 129 days); insulin glargine (day 1406, for 84 days); insulin aspart, human (day 1574, for 97 days); insulin glargine (day 1574, for 27 days); insulin glargine (day 1644, for 27 days); insulin aspart, human (day 1707, for 113 days); insulin glargine (day 1707, for 113 days); insulin glargine (day 1888, for 65 days); insulin aspart, human (day 1888, for 87 days); insulin aspart, human (day 2037, for 27 days); insulin aspart, human (day 2123, for 79 days); insulin aspart, human (day 2240, for 55 days); insulin aspart, human (day 2351, for 464 days); insulin aspart, human (day 2861, for 26 days); insulin aspart, human (day 2925, for 3 days); insulin aspart, human (day 2968, for 194 days); insulin aspart, human (day 3197, for 3 days); insulin aspart, human (day 3240, for 3 days); insulin aspart, human (day 3281, for 3 days); insulin aspart, human (day 3324, for 3 days); insulin aspart, human (day 3369, for 36 days); insulin aspart, human (day 3457, for 157 days); insulin aspart, human (day 3654, for 3 days); insulin aspart, human (day 3702, for 47 days); insulin aspart, human (day 3838, for 3 days); insulin aspart, human (day 3912, for 27 days); insulin aspart, human (day 3974, for 3 days); insulin aspart, human (day 4032, for 86 days); insulin aspart, human (day 4160, for 3 days); insulin aspart, human (day 4200, for 3 days); insulin aspart, human (day 4283, for 3 days); insulin aspart, human (day 4356, for 3 days); insulin aspart, human (day 4422, for 52 days); insulin aspart, human (day 4528, for 3 days); insulin aspart, human (day 4564, for 3 days); insulin aspart, human (day 4613, for 3 days); insulin aspart, human (day 4669, for 3 days); insulin aspart, human (day 4724, for 3 days); insulin aspart, human (day 4760, for 3 days); insulin aspart, human (day 4802, for 66 days); insulin aspart, human (day 4986, for 3 days); insulin aspart, human (day 5041, for 3 days); insulin aspart, human (day 5091, for 51 days); insulin aspart, human (day 5203, for 57 days); insulin aspart, human (day 5305, for 110 days);"/>
    <m/>
    <x v="0"/>
  </r>
  <r>
    <n v="1026210195"/>
    <n v="37"/>
    <s v="Male"/>
    <s v="-7836 days - 2083 days"/>
    <s v="Office Visit"/>
    <s v="Type 1 diabetes mellitus (EHR);"/>
    <m/>
    <m/>
    <m/>
    <m/>
    <m/>
    <m/>
    <m/>
    <m/>
    <s v="Depressive disorder (day 2022); Diabetes mellitus (day 1225); Nonproliferative retinopathy of left eye due to diabetes mellitus (day 1685)"/>
    <m/>
    <s v="insulin lispro (day 1, for 27 days); insulin lispro (day 82, for 27 days); insulin lispro (day 153, for 27 days); insulin lispro (day 251, for 27 days); insulin lispro (day 356, for 27 days); insulin lispro (day 441, for 27 days); insulin lispro (day 585, for 27 days); insulin lispro (day 694, for 139 days); insulin lispro (day 876, for 27 days); insulin lispro (day 944, for 27 days); insulin glargine (day 985, for 117 days); insulin lispro (day 1002, for 275 days); insulin glargine (day 1145, for 27 days); insulin glargine (day 1219, for 58 days); insulin lispro (day 1308, for 182 days); insulin glargine (day 1392, for 0 days); insulin glargine (day 1441, for 22 days); insulin lispro (day 1524, for 565 days); insulin glargine (day 1524, for 28 days); insulin glargine (day 1636, for 0 days); insulin glargine (day 1709, for 0 days); insulin glargine (day 1748, for 23 days); metformin (day 1834, for 136 days); insulin glargine (day 1853, for 0 days); insulin glargine (day 1909, for 0 days); insulin glargine (day 1943, for 0 days); metformin (day 2022, for 67 days); insulin glargine (day 2034, for 0 days);"/>
    <m/>
    <x v="0"/>
  </r>
  <r>
    <n v="1084310679"/>
    <n v="14"/>
    <s v="Male"/>
    <s v="-3543 days - 3451 days"/>
    <s v="Office Visit"/>
    <s v="Type 1 diabetes mellitus (EHR);"/>
    <m/>
    <m/>
    <m/>
    <m/>
    <m/>
    <m/>
    <m/>
    <m/>
    <m/>
    <m/>
    <s v="insulin aspart, human (day 13, for 3428 days);"/>
    <m/>
    <x v="0"/>
  </r>
  <r>
    <n v="1086910999"/>
    <n v="27"/>
    <s v="Male"/>
    <s v="-6397 days - 478 days"/>
    <s v="Office Visit"/>
    <s v="Type 1 diabetes mellitus (EHR);"/>
    <m/>
    <m/>
    <m/>
    <m/>
    <m/>
    <m/>
    <m/>
    <m/>
    <m/>
    <m/>
    <s v="insulin degludec (day 7, for 20 days); insulin aspart, human (day 7, for 20 days); insulin degludec (day 96, for 0 days); insulin aspart, human (day 96, for 0 days); insulin aspart, human (day 166, for 30 days); insulin degludec (day 195, for 0 days); insulin aspart, human (day 232, for 8 days); insulin degludec (day 232, for 8 days); insulin degludec (day 271, for 0 days); insulin aspart, human (day 271, for 94 days); insulin degludec (day 327, for 0 days);"/>
    <m/>
    <x v="0"/>
  </r>
  <r>
    <n v="1112310707"/>
    <n v="17"/>
    <s v="Male"/>
    <s v="-2965 days - 2738 days"/>
    <s v="Office Visit"/>
    <s v="Type 1 diabetes mellitus (EHR);"/>
    <m/>
    <m/>
    <m/>
    <m/>
    <m/>
    <m/>
    <m/>
    <m/>
    <s v="Mixed anxiety and depressive disorder (day 1530); Type 1 diabetes mellitus (day 637)"/>
    <m/>
    <s v="insulin glargine (day 7, for 0 days); insulin aspart, human (day 7, for 0 days); insulin glargine (day 107, for 0 days); insulin aspart, human (day 179, for 27 days); insulin glargine (day 266, for 0 days); insulin glargine (day 371, for 0 days); insulin glargine (day 428, for 0 days); insulin aspart, human (day 428, for 83 days); insulin glargine (day 548, for 0 days); insulin glargine (day 675, for 27 days); insulin aspart, human (day 753, for 66 days); insulin glargine (day 753, for 0 days); insulin glargine (day 792, for 0 days); insulin glargine (day 855, for 0 days); insulin aspart, human (day 855, for 27 days); insulin glargine (day 918, for 0 days); insulin aspart, human (day 963, for 82 days); insulin glargine (day 988, for 30 days); insulin glargine (day 1141, for 0 days); insulin glargine (day 1207, for 0 days); insulin glargine (day 1239, for 0 days); insulin aspart, human (day 1239, for 83 days); insulin glargine (day 1295, for 0 days); insulin glargine (day 1354, for 0 days); insulin aspart, human (day 1354, for 118 days); insulin glargine (day 1404, for 0 days); insulin glargine (day 1445, for 0 days); insulin glargine (day 1488, for 0 days); insulin aspart, human (day 1530, for 298 days); insulin glargine (day 1530, for 0 days); insulin glargine (day 1591, for 0 days); insulin glargine (day 1628, for 0 days); insulin glargine (day 1680, for 22 days); insulin glargine (day 1743, for 51 days); insulin glargine (day 1828, for 0 days); insulin aspart, human (day 1876, for 0 days); insulin glargine (day 1876, for 0 days); insulin aspart, human (day 1926, for 0 days); insulin glargine (day 1926, for 0 days); insulin aspart, human (day 1962, for 0 days); insulin glargine (day 1962, for 0 days); insulin aspart, human (day 2011, for 23 days); insulin glargine (day 2011, for 21 days); insulin aspart, human (day 2074, for 28 days); insulin glargine (day 2074, for 28 days); insulin glargine (day 2139, for 0 days); insulin aspart, human (day 2139, for 0 days); insulin glargine (day 2171, for 0 days); insulin aspart, human (day 2171, for 0 days); insulin glargine (day 2202, for 0 days); insulin glargine (day 2233, for 1 days); insulin glargine (day 2276, for 112 days); insulin aspart, human (day 2276, for 57 days); insulin aspart, human (day 2387, for 0 days); insulin aspart, human (day 2424, for 0 days); insulin glargine (day 2424, for 0 days); insulin glargine (day 2465, for 0 days); insulin aspart, human (day 2465, for 0 days); insulin aspart, human (day 2507, for 0 days); insulin glargine (day 2507, for 0 days); insulin glargine (day 2545, for 0 days); insulin aspart, human (day 2545, for 0 days); insulin aspart, human (day 2576, for 29 days); insulin glargine (day 2576, for 7 days);"/>
    <m/>
    <x v="0"/>
  </r>
  <r>
    <n v="1146710626"/>
    <n v="9"/>
    <s v="Male"/>
    <s v="-1111 days - 1403 days"/>
    <s v="Office Visit"/>
    <s v="Type 1 diabetes mellitus (EHR);"/>
    <m/>
    <m/>
    <m/>
    <m/>
    <m/>
    <m/>
    <m/>
    <m/>
    <m/>
    <m/>
    <s v="insulin aspart, human (day 6, for 132 days); insulin aspart, human (day 189, for 663 days); insulin aspart, human (day 1071, for 169 days);"/>
    <m/>
    <x v="0"/>
  </r>
  <r>
    <n v="1244410740"/>
    <n v="12"/>
    <s v="Female"/>
    <s v="-942 days - 128 days"/>
    <s v="Office Visit"/>
    <s v="Type 1 diabetes mellitus (EHR);"/>
    <m/>
    <m/>
    <m/>
    <m/>
    <m/>
    <m/>
    <m/>
    <m/>
    <m/>
    <m/>
    <s v="insulin aspart, human (day 2, for 104 days);"/>
    <m/>
    <x v="0"/>
  </r>
  <r>
    <n v="1292410740"/>
    <n v="29"/>
    <s v="Male"/>
    <s v="-491 days - 383 days"/>
    <s v="Office Visit"/>
    <s v="Type 1 diabetes mellitus (EHR);"/>
    <m/>
    <m/>
    <m/>
    <m/>
    <m/>
    <m/>
    <m/>
    <m/>
    <s v="Nonproliferative retinopathy of left eye due to diabetes mellitus (day 56); Type 1 diabetes mellitus (day 80)"/>
    <m/>
    <s v="insulin aspart, human (day 55, for 27 days); insulin degludec (day 55, for 27 days); insulin aspart, human (day 160, for 0 days); insulin degludec (day 166, for 42 days); insulin aspart, human (day 195, for 13 days); insulin aspart, human (day 308, for 21 days); insulin aspart, human (day 362, for 8 days); insulin degludec (day 367, for 3 days);"/>
    <m/>
    <x v="0"/>
  </r>
  <r>
    <n v="1344710011"/>
    <n v="4"/>
    <s v="Female"/>
    <s v="-1342 days - 228 days"/>
    <s v="Office Visit"/>
    <s v="Type 1 diabetes mellitus (EHR);"/>
    <m/>
    <m/>
    <m/>
    <m/>
    <m/>
    <m/>
    <m/>
    <m/>
    <s v="Ketoacidosis due to type 1 diabetes mellitus (day 32)"/>
    <m/>
    <s v="insulin aspart, human (day 0, for 231 days);"/>
    <m/>
    <x v="0"/>
  </r>
  <r>
    <n v="1419010939"/>
    <n v="16"/>
    <s v="Female"/>
    <s v="-6083 days - 2955 days"/>
    <s v="Office Visit"/>
    <s v="Type 1 diabetes mellitus (EHR);"/>
    <m/>
    <s v="Tired all the time (day -29)"/>
    <m/>
    <m/>
    <m/>
    <m/>
    <m/>
    <m/>
    <m/>
    <m/>
    <s v="insulin aspart, human (day 45, for 4 days); insulin glargine (day 90, for 14 days); insulin aspart, human (day 104, for 4 days); insulin aspart, human (day 142, for 32 days); insulin aspart, human (day 213, for 14 days); insulin glargine (day 223, for 16 days); insulin aspart, human (day 266, for 1 days); insulin aspart, human (day 307, for 1 days); insulin glargine (day 380, for 0 days); insulin aspart, human (day 405, for 1 days); insulin glargine (day 426, for 0 days); insulin aspart, human (day 454, for 1 days); insulin aspart, human (day 493, for 1 days); insulin glargine (day 493, for 0 days); insulin aspart, human (day 535, for 1 days); insulin glargine (day 580, for 0 days); insulin aspart, human (day 588, for 52 days); insulin glargine (day 650, for 0 days); insulin aspart, human (day 672, for 0 days); insulin glargine (day 707, for 0 days); insulin aspart, human (day 763, for 0 days); insulin glargine (day 804, for 0 days); insulin aspart, human (day 833, for 727 days); insulin glargine (day 1532, for 0 days); insulin aspart, human (day 1612, for 500 days); insulin glargine (day 2071, for 0 days); insulin aspart, human (day 2144, for 27 days); insulin aspart, human (day 2255, for 27 days); insulin aspart, human (day 2325, for 56 days); insulin aspart, human (day 2414, for 27 days); insulin aspart, human (day 2507, for 215 days); insulin aspart, human (day 2764, for 27 days); insulin aspart, human (day 2830, for 40 days); insulin glargine (day 2838, for 0 days); insulin aspart, human (day 2904, for 63 days);"/>
    <m/>
    <x v="2"/>
  </r>
  <r>
    <n v="1591110113"/>
    <n v="3"/>
    <s v="Female"/>
    <s v="-1197 days - 451 days"/>
    <s v="Office Visit"/>
    <s v="Type 1 diabetes mellitus (EHR);"/>
    <m/>
    <m/>
    <m/>
    <m/>
    <m/>
    <m/>
    <m/>
    <m/>
    <m/>
    <m/>
    <s v="insulin aspart, human (day 31, for 125 days); insulin aspart, human (day 213, for 27 days); insulin aspart, human (day 283, for 65 days); insulin aspart, human (day 388, for 27 days);"/>
    <m/>
    <x v="0"/>
  </r>
  <r>
    <n v="1654310321"/>
    <n v="15"/>
    <s v="Male"/>
    <s v="-2530 days - 2397 days"/>
    <s v="Office Visit"/>
    <s v="Type 1 diabetes mellitus (EHR);"/>
    <m/>
    <m/>
    <m/>
    <m/>
    <m/>
    <m/>
    <m/>
    <m/>
    <s v="Depressive disorder (day 1716); Diabetes mellitus (day 2131); Type 1 diabetes mellitus (day 1543, 1635, 2131)"/>
    <m/>
    <s v="insulin aspart, human (day 3, for 0 days); insulin glargine (day 3, for 0 days); insulin glargine (day 38, for 0 days); insulin aspart, human (day 38, for 0 days); insulin aspart, human (day 92, for 0 days); insulin glargine (day 130, for 0 days); insulin aspart, human (day 296, for 98 days); insulin glargine (day 339, for 49 days); insulin aspart, human (day 469, for 0 days); insulin aspart, human (day 505, for 24 days); insulin glargine (day 596, for 0 days); insulin aspart, human (day 665, for 0 days); insulin glargine (day 666, for 0 days); insulin aspart, human (day 738, for 0 days); insulin glargine (day 738, for 0 days); insulin aspart, human (day 869, for 0 days); insulin glargine (day 1569, for 0 days); insulin aspart, human (day 1569, for 0 days); insulin glargine (day 2016, for 0 days); insulin aspart, human (day 2016, for 0 days);"/>
    <m/>
    <x v="0"/>
  </r>
  <r>
    <n v="1697510114"/>
    <n v="10"/>
    <s v="Male"/>
    <s v="-3063 days - 80 days"/>
    <s v="Office Visit"/>
    <s v="Type 1 diabetes mellitus (EHR);"/>
    <m/>
    <m/>
    <m/>
    <m/>
    <m/>
    <m/>
    <m/>
    <m/>
    <m/>
    <m/>
    <s v="insulin aspart, human (day 32, for 27 days);"/>
    <m/>
    <x v="0"/>
  </r>
  <r>
    <n v="1721910713"/>
    <n v="12"/>
    <s v="Female"/>
    <s v="-2714 days - 871 days"/>
    <s v="Office Visit"/>
    <s v="Type 1 diabetes mellitus (EHR);"/>
    <m/>
    <m/>
    <m/>
    <m/>
    <m/>
    <m/>
    <m/>
    <m/>
    <s v="Diabetes mellitus (day 445, 845)"/>
    <m/>
    <s v="insulin aspart, human (day 445, for 4 days); insulin glargine (day 445, for 0 days); insulin aspart, human (day 745, for 38 days); insulin glargine (day 779, for 0 days);"/>
    <m/>
    <x v="0"/>
  </r>
  <r>
    <n v="1833510766"/>
    <n v="4"/>
    <s v="Female"/>
    <s v="-1405 days - 5656 days"/>
    <s v="Office Visit"/>
    <s v="Type 1 diabetes mellitus (EHR);"/>
    <m/>
    <m/>
    <m/>
    <m/>
    <m/>
    <m/>
    <m/>
    <m/>
    <s v="Ketoacidosis due to type 1 diabetes mellitus (day 4718)"/>
    <m/>
    <s v="insulin, regular, human (day 2, for 28 days); insulin lispro (day 58, for 27 days); insulin, regular, human (day 75, for 27 days); insulin, regular, human (day 191, for 133 days); insulin lispro (day 303, for 27 days); insulin glargine (day 362, for 0 days); insulin lispro (day 388, for 27 days); insulin aspart, human (day 423, for 0 days); insulin aspart, human (day 456, for 1582 days); insulin lispro (day 542, for 27 days); insulin glargine (day 542, for 0 days); insulin glargine (day 905, for 0 days); insulin lispro (day 905, for 65 days); insulin lispro (day 1115, for 27 days); insulin lispro (day 1186, for 27 days); insulin glargine (day 1376, for 27 days); insulin lispro (day 1376, for 53 days); insulin aspart, human (day 2087, for 1248 days); insulin lispro (day 2546, for 27 days); insulin glargine (day 2546, for 27 days); insulin glargine (day 3035, for 27 days); insulin lispro (day 3035, for 27 days); insulin aspart, human (day 3400, for 0 days); insulin lispro (day 3400, for 27 days); insulin aspart, human (day 3448, for 0 days); insulin aspart, human (day 3516, for 0 days); insulin aspart, human (day 3557, for 0 days); insulin aspart, human (day 3636, for 29 days); insulin glargine (day 3665, for 27 days); insulin lispro (day 3665, for 27 days); insulin aspart, human (day 3742, for 0 days); insulin aspart, human (day 3792, for 25 days); insulin aspart, human (day 3888, for 0 days); insulin aspart, human (day 3972, for 0 days); insulin aspart, human (day 4113, for 0 days); insulin aspart, human (day 4166, for 0 days); insulin aspart, human (day 4257, for 0 days); insulin aspart, human (day 4300, for 0 days); insulin aspart, human (day 4363, for 0 days); insulin aspart, human (day 4432, for 0 days); insulin aspart, human (day 4490, for 0 days); insulin aspart, human (day 4595, for 0 days); insulin aspart, human (day 4642, for 0 days); insulin aspart, human (day 4679, for 0 days); insulin aspart, human (day 4741, for 0 days); insulin aspart, human (day 4792, for 0 days); insulin aspart, human (day 4826, for 0 days); insulin aspart, human (day 4868, for 0 days); insulin aspart, human (day 4911, for 0 days); insulin aspart, human (day 4986, for 0 days); insulin aspart, human (day 5079, for 0 days); insulin aspart, human (day 5167, for 0 days); insulin aspart, human (day 5261, for 0 days); insulin glargine (day 5294, for 0 days); insulin aspart, human (day 5294, for 2 days); insulin aspart, human (day 5384, for 23 days); insulin aspart, human (day 5482, for 0 days); insulin aspart, human (day 5561, for 0 days); insulin aspart, human (day 5622, for 0 days);"/>
    <m/>
    <x v="0"/>
  </r>
  <r>
    <n v="1837010125"/>
    <n v="12"/>
    <s v="Female"/>
    <s v="-4588 days - 2179 days"/>
    <s v="Office Visit"/>
    <s v="Type 1 diabetes mellitus (EHR);"/>
    <m/>
    <m/>
    <m/>
    <m/>
    <m/>
    <m/>
    <m/>
    <m/>
    <s v="Type 1 diabetes mellitus (day 1644)"/>
    <m/>
    <s v="insulin aspart, human (day 0, for 83 days); insulin aspart, human (day 119, for 27 days); insulin aspart, human (day 202, for 27 days); insulin aspart, human (day 525, for 73 days); insulin aspart, human (day 1166, for 27 days); insulin aspart, human (day 1533, for 27 days); insulin aspart, human (day 2149, for 27 days);"/>
    <m/>
    <x v="0"/>
  </r>
  <r>
    <n v="1865510448"/>
    <n v="13"/>
    <s v="Male"/>
    <s v="-2805 days - 862 days"/>
    <s v="Office Visit"/>
    <s v="Type 1 diabetes mellitus (EHR);"/>
    <m/>
    <s v="Fatigue (day -4)"/>
    <m/>
    <m/>
    <m/>
    <m/>
    <m/>
    <m/>
    <m/>
    <m/>
    <s v="insulin aspart, human (day 8, for 4 days); insulin glargine (day 29, for 0 days); insulin aspart, human (day 57, for 26 days); insulin aspart, human (day 125, for 4 days); insulin glargine (day 125, for 0 days); insulin aspart, human (day 210, for 4 days); insulin glargine (day 210, for 0 days); insulin aspart, human (day 262, for 49 days); insulin glargine (day 273, for 0 days); insulin aspart, human (day 405, for 4 days); insulin aspart, human (day 471, for 4 days); insulin aspart, human (day 568, for 4 days); insulin aspart, human (day 610, for 4 days); insulin aspart, human (day 680, for 4 days); insulin aspart, human (day 715, for 4 days); insulin glargine (day 715, for 0 days); insulin aspart, human (day 814, for 4 days); insulin glargine (day 853, for 0 days); insulin aspart, human (day 853, for 4 days);"/>
    <m/>
    <x v="2"/>
  </r>
  <r>
    <n v="2000210593"/>
    <n v="7"/>
    <s v="Male"/>
    <s v="-2213 days - 173 days"/>
    <s v="Office Visit"/>
    <s v="Type 1 diabetes mellitus (EHR);"/>
    <m/>
    <m/>
    <m/>
    <m/>
    <m/>
    <m/>
    <m/>
    <m/>
    <m/>
    <m/>
    <s v="insulin glargine (day 4, for 27 days); insulin aspart, human (day 4, for 27 days);"/>
    <m/>
    <x v="0"/>
  </r>
  <r>
    <n v="2062710552"/>
    <n v="19"/>
    <s v="Male"/>
    <s v="-384 days - 630 days"/>
    <s v="Office Visit"/>
    <s v="Type 1 diabetes mellitus (EHR);"/>
    <m/>
    <m/>
    <m/>
    <m/>
    <m/>
    <m/>
    <m/>
    <m/>
    <s v="Diabetes mellitus (day 17); Endogenous depression first episode (day 415)"/>
    <m/>
    <s v="insulin aspart, human (day 62, for 0 days); insulin aspart, human (day 170, for 0 days); insulin aspart, human (day 415, for 0 days); insulin aspart, human (day 496, for 0 days); insulin aspart, human (day 588, for 0 days);"/>
    <m/>
    <x v="0"/>
  </r>
  <r>
    <n v="2072410974"/>
    <n v="17"/>
    <s v="Male"/>
    <s v="-5305 days - 2323 days"/>
    <s v="Office Visit"/>
    <s v="Type 1 diabetes mellitus (EHR);"/>
    <m/>
    <m/>
    <m/>
    <m/>
    <m/>
    <m/>
    <m/>
    <m/>
    <s v="Mixed anxiety and depressive disorder (day 2251); Type 1 diabetes mellitus (day 43)"/>
    <m/>
    <s v="insulin aspart, human (day 19, for 17 days); insulin glargine (day 34, for 2 days); insulin glargine (day 67, for 70 days); insulin aspart, human (day 70, for 67 days); insulin glargine (day 175, for 49 days); insulin aspart, human (day 175, for 49 days); insulin aspart, human (day 258, for 0 days); insulin glargine (day 258, for 0 days); insulin aspart, human (day 301, for 83 days); insulin glargine (day 301, for 83 days); insulin glargine (day 540, for 0 days); insulin aspart, human (day 540, for 26 days); insulin aspart, human (day 606, for 72 days); insulin glargine (day 651, for 27 days); insulin aspart, human (day 715, for 82 days); insulin glargine (day 715, for 82 days); insulin aspart, human (day 834, for 84 days); insulin glargine (day 837, for 81 days); insulin aspart, human (day 949, for 87 days); insulin glargine (day 949, for 87 days); insulin aspart, human (day 1076, for 29 days); insulin glargine (day 1076, for 29 days); insulin aspart, human (day 1142, for 28 days); insulin glargine (day 1142, for 28 days); insulin aspart, human (day 1210, for 0 days); insulin glargine (day 1210, for 0 days); insulin aspart, human (day 1243, for 0 days); insulin glargine (day 1243, for 0 days); insulin aspart, human (day 1280, for 30 days); insulin glargine (day 1280, for 30 days); insulin aspart, human (day 1341, for 51 days); insulin glargine (day 1341, for 51 days); insulin glargine (day 1426, for 0 days); insulin aspart, human (day 1426, for 0 days); insulin aspart, human (day 1468, for 0 days); insulin glargine (day 1468, for 0 days); insulin glargine (day 1509, for 25 days); insulin aspart, human (day 1509, for 25 days); insulin glargine (day 1567, for 27 days); insulin aspart, human (day 1567, for 27 days); insulin glargine (day 1651, for 0 days); insulin aspart, human (day 1651, for 0 days); insulin aspart, human (day 1712, for 46 days); insulin glargine (day 1712, for 46 days); insulin glargine (day 1807, for 28 days); insulin aspart, human (day 1807, for 28 days); insulin glargine (day 1875, for 0 days); insulin aspart, human (day 1875, for 0 days); insulin glargine (day 1932, for 26 days); insulin aspart, human (day 1932, for 26 days); insulin glargine (day 2041, for 23 days); insulin aspart, human (day 2041, for 23 days); insulin aspart, human (day 2101, for 0 days); insulin glargine (day 2101, for 0 days); insulin glargine (day 2140, for 0 days); insulin aspart, human (day 2140, for 0 days); insulin glargine (day 2177, for 22 days); insulin aspart, human (day 2177, for 22 days); insulin glargine (day 2233, for 0 days); insulin aspart, human (day 2233, for 0 days); insulin glargine (day 2280, for 28 days); insulin aspart, human (day 2280, for 28 days);"/>
    <m/>
    <x v="0"/>
  </r>
  <r>
    <n v="2196210387"/>
    <n v="6"/>
    <s v="Male"/>
    <s v="-914 days - 935 days"/>
    <s v="Office Visit"/>
    <s v="Type 1 diabetes mellitus (EHR);"/>
    <m/>
    <m/>
    <m/>
    <m/>
    <m/>
    <m/>
    <m/>
    <m/>
    <m/>
    <m/>
    <s v="insulin, regular, human (day 2, for 137 days); insulin, regular, human (day 199, for 27 days); insulin aspart, human (day 239, for 27 days); insulin, regular, human (day 331, for 27 days); insulin, regular, human (day 389, for 66 days); insulin aspart, human (day 389, for 66 days); insulin, regular, human (day 486, for 27 days); insulin aspart, human (day 568, for 83 days); insulin, regular, human (day 568, for 267 days); insulin aspart, human (day 710, for 59 days); insulin, regular, human (day 899, for 27 days);"/>
    <m/>
    <x v="0"/>
  </r>
  <r>
    <n v="2220510348"/>
    <n v="19"/>
    <s v="Male"/>
    <s v="-943 days - 1218 days"/>
    <s v="Office Visit"/>
    <s v="Type 1 diabetes mellitus (EHR);"/>
    <m/>
    <m/>
    <m/>
    <m/>
    <m/>
    <m/>
    <m/>
    <m/>
    <m/>
    <m/>
    <s v="insulin aspart, human (day 6, for 219 days); insulin aspart, human (day 258, for 205 days);"/>
    <m/>
    <x v="0"/>
  </r>
  <r>
    <n v="2353710622"/>
    <n v="16"/>
    <s v="Female"/>
    <s v="-1658 days - 672 days"/>
    <s v="Office Visit"/>
    <s v="Type 1 diabetes mellitus (EHR);"/>
    <s v="Celiac disease (day -742)"/>
    <m/>
    <m/>
    <m/>
    <m/>
    <m/>
    <m/>
    <m/>
    <s v="Type 1 diabetes mellitus (day 435)"/>
    <m/>
    <s v="insulin aspart, human (day 0, for 13 days); insulin glargine (day 0, for 13 days); insulin aspart, human (day 55, for 86 days); insulin glargine (day 55, for 23 days); insulin glargine (day 141, for 0 days); insulin glargine (day 188, for 0 days); insulin aspart, human (day 188, for 28 days); insulin aspart, human (day 266, for 41 days); insulin glargine (day 307, for 0 days); insulin degludec (day 346, for 0 days); insulin aspart, human (day 357, for 0 days); insulin aspart, human (day 391, for 0 days); insulin degludec (day 391, for 0 days); insulin aspart, human (day 434, for 0 days); insulin degludec (day 434, for 0 days); insulin aspart, human (day 469, for 0 days); insulin degludec (day 469, for 0 days); insulin aspart, human (day 513, for 0 days); insulin aspart, human (day 561, for 0 days); insulin degludec (day 561, for 0 days); insulin degludec (day 637, for 0 days); insulin aspart, human (day 637, for 0 days);"/>
    <m/>
    <x v="0"/>
  </r>
  <r>
    <n v="2459710934"/>
    <n v="3"/>
    <s v="Male"/>
    <s v="-951 days - 602 days"/>
    <s v="Office Visit"/>
    <s v="Type 1 diabetes mellitus (EHR);"/>
    <m/>
    <m/>
    <m/>
    <m/>
    <m/>
    <m/>
    <m/>
    <m/>
    <m/>
    <m/>
    <s v="insulin aspart, human (day 1, for 228 days); insulin aspart, human (day 293, for 319 days);"/>
    <m/>
    <x v="0"/>
  </r>
  <r>
    <n v="2625910670"/>
    <n v="13"/>
    <s v="Female"/>
    <s v="-2079 days - 1974 days"/>
    <s v="Office Visit"/>
    <s v="Type 1 diabetes mellitus (EHR);"/>
    <m/>
    <m/>
    <m/>
    <m/>
    <m/>
    <m/>
    <m/>
    <m/>
    <s v="Ketoacidosis due to type 1 diabetes mellitus (day 1248)"/>
    <m/>
    <s v="insulin aspart, human (day 34, for 0 days); insulin, regular, human (day 37, for 50 days); insulin aspart, human (day 81, for 218 days); insulin aspart, human (day 338, for 288 days); insulin aspart, human (day 663, for 52 days); insulin aspart, human (day 746, for 27 days); insulin aspart, human (day 815, for 114 days); insulin aspart, human (day 993, for 27 days); insulin aspart, human (day 1083, for 97 days); insulin aspart, human (day 1217, for 194 days); insulin aspart, human (day 1451, for 115 days); insulin aspart, human (day 1663, for 222 days); insulin aspart, human (day 1945, for 27 days);"/>
    <m/>
    <x v="0"/>
  </r>
  <r>
    <n v="2850010979"/>
    <n v="2"/>
    <s v="Male"/>
    <s v="-630 days - 2283 days"/>
    <s v="Office Visit"/>
    <s v="Type 1 diabetes mellitus (EHR);"/>
    <m/>
    <m/>
    <m/>
    <m/>
    <m/>
    <m/>
    <m/>
    <m/>
    <m/>
    <m/>
    <s v="insulin aspart, human (day 12, for 1 days); insulin aspart, human (day 55, for 1 days); insulin aspart, human (day 97, for 1 days); insulin aspart, human (day 201, for 127 days); insulin aspart, human (day 369, for 125 days); insulin aspart, human (day 541, for 58 days); insulin aspart, human (day 686, for 103 days); insulin aspart, human (day 832, for 27 days); insulin aspart, human (day 910, for 340 days); insulin aspart, human (day 1314, for 300 days); insulin aspart, human (day 1647, for 310 days); insulin aspart, human (day 1994, for 310 days);"/>
    <m/>
    <x v="0"/>
  </r>
  <r>
    <n v="2990210861"/>
    <n v="1"/>
    <s v="Male"/>
    <s v="-367 days - 508 days"/>
    <s v="Office Visit"/>
    <s v="Type 1 diabetes mellitus (EHR);"/>
    <m/>
    <m/>
    <m/>
    <m/>
    <m/>
    <m/>
    <m/>
    <m/>
    <m/>
    <m/>
    <s v="insulin aspart, human (day 106, for 3 days); insulin aspart, human (day 150, for 27 days); insulin aspart, human (day 220, for 27 days); insulin aspart, human (day 303, for 3 days); insulin aspart, human (day 373, for 3 days); insulin aspart, human (day 421, for 3 days); insulin aspart, human (day 488, for 15 days);"/>
    <m/>
    <x v="0"/>
  </r>
  <r>
    <n v="3525210465"/>
    <n v="53"/>
    <s v="Male"/>
    <s v="-2268 days - 2189 days"/>
    <s v="Office Visit"/>
    <s v="Type 1 diabetes mellitus (EHR);"/>
    <m/>
    <m/>
    <m/>
    <m/>
    <m/>
    <m/>
    <m/>
    <m/>
    <s v="Type 1 diabetes mellitus (day 1266)"/>
    <m/>
    <s v="insulin, regular, human (day 0, for 69 days); insulin, regular, human (day 383, for 27 days); insulin, regular, human (day 508, for 27 days); insulin, regular, human (day 605, for 27 days); insulin, regular, human (day 721, for 66 days); insulin, regular, human (day 1096, for 27 days); insulin, regular, human (day 1235, for 27 days); insulin, regular, human (day 1369, for 27 days); insulin, regular, human (day 1453, for 27 days); insulin, regular, human (day 1530, for 57 days); insulin, regular, human (day 1634, for 84 days); insulin, regular, human (day 1769, for 202 days); insulin, regular, human (day 2019, for 69 days); insulin, regular, human (day 2121, for 27 days);"/>
    <m/>
    <x v="0"/>
  </r>
  <r>
    <n v="3782210815"/>
    <n v="43"/>
    <s v="Female"/>
    <s v="-1462 days - 4578 days"/>
    <s v="Office Visit"/>
    <s v="Type 1 diabetes mellitus (EHR);"/>
    <m/>
    <m/>
    <m/>
    <m/>
    <m/>
    <m/>
    <m/>
    <m/>
    <m/>
    <m/>
    <s v="insulin aspart, human (day 2, for 0 days); insulin aspart, human (day 166, for 36 days); insulin glargine (day 175, for 0 days); insulin glargine (day 238, for 27 days); insulin aspart, human (day 238, for 27 days); insulin glargine (day 299, for 27 days); insulin aspart, human (day 383, for 27 days); insulin glargine (day 383, for 27 days); insulin aspart, human (day 537, for 27 days); insulin glargine (day 537, for 27 days); insulin glargine (day 737, for 27 days); insulin aspart, human (day 737, for 27 days); insulin aspart, human (day 807, for 27 days); insulin glargine (day 807, for 27 days); insulin aspart, human (day 1015, for 27 days); insulin glargine (day 1015, for 27 days); insulin aspart, human (day 1282, for 27 days); insulin glargine (day 1282, for 27 days); insulin glargine (day 1374, for 27 days); insulin aspart, human (day 1374, for 27 days); insulin aspart, human (day 1759, for 27 days); insulin glargine (day 1759, for 27 days); insulin glargine (day 1913, for 27 days); insulin aspart, human (day 1913, for 27 days); insulin aspart, human (day 2091, for 27 days); insulin glargine (day 2091, for 27 days); insulin aspart, human (day 2234, for 27 days); insulin glargine (day 2234, for 27 days); insulin aspart, human (day 2515, for 27 days); insulin glargine (day 2515, for 27 days); insulin aspart, human (day 2602, for 27 days); insulin glargine (day 2602, for 27 days); insulin aspart, human (day 2667, for 27 days); insulin glargine (day 2667, for 27 days); insulin glargine (day 2883, for 27 days); insulin aspart, human (day 2883, for 27 days); insulin glargine (day 3019, for 27 days); insulin aspart, human (day 3019, for 27 days); insulin glargine (day 3254, for 27 days); insulin aspart, human (day 3254, for 27 days); insulin glargine (day 3352, for 27 days); insulin aspart, human (day 3352, for 27 days); insulin glargine (day 3439, for 62 days); insulin aspart, human (day 3439, for 62 days); insulin glargine (day 3569, for 27 days); insulin aspart, human (day 3569, for 27 days); insulin aspart, human (day 3718, for 27 days); insulin glargine (day 3718, for 27 days); insulin glargine (day 3877, for 27 days); insulin aspart, human (day 3877, for 27 days); insulin aspart, human (day 4018, for 27 days); insulin glargine (day 4018, for 27 days); insulin aspart, human (day 4221, for 27 days); insulin glargine (day 4221, for 27 days); insulin aspart, human (day 4404, for 27 days); insulin glargine (day 4404, for 27 days);"/>
    <m/>
    <x v="0"/>
  </r>
  <r>
    <n v="4946010229"/>
    <n v="5"/>
    <s v="Female"/>
    <s v="-1750 days - 6407 days"/>
    <s v="Office Visit"/>
    <s v="Type 1 diabetes mellitus (EHR);"/>
    <m/>
    <m/>
    <m/>
    <m/>
    <m/>
    <m/>
    <m/>
    <m/>
    <s v="Mixed anxiety and depressive disorder (day 5237); Type 1 diabetes mellitus (day 333)"/>
    <m/>
    <s v="insulin lispro (day 1186, for 27 days); insulin glargine (day 1186, for 27 days); insulin glargine (day 1254, for 27 days); insulin lispro (day 1254, for 27 days); insulin lispro (day 1430, for 27 days); insulin lispro (day 1526, for 27 days); insulin glargine (day 1539, for 80 days); insulin lispro (day 1592, for 27 days); insulin lispro (day 1665, for 126 days); insulin glargine (day 1665, for 27 days); insulin glargine (day 1870, for 27 days); insulin lispro (day 1890, for 27 days); insulin lispro (day 1959, for 92 days); insulin glargine (day 2066, for 27 days); insulin lispro (day 2115, for 27 days); insulin lispro (day 2177, for 27 days); insulin glargine (day 2218, for 27 days); insulin lispro (day 2247, for 243 days); insulin glargine (day 2304, for 27 days); insulin glargine (day 2407, for 83 days); insulin lispro (day 2526, for 27 days); insulin lispro (day 2605, for 257 days); insulin glargine (day 2605, for 27 days); insulin glargine (day 2731, for 27 days); insulin glargine (day 2806, for 27 days); insulin lispro (day 2911, for 107 days); insulin glargine (day 2911, for 27 days); insulin glargine (day 2991, for 27 days); insulin lispro (day 3065, for 181 days); insulin glargine (day 3118, for 80 days); insulin glargine (day 3279, for 27 days); insulin lispro (day 3279, for 660 days); insulin glargine (day 3353, for 78 days); insulin glargine (day 3482, for 27 days); insulin glargine (day 3563, for 121 days); insulin glargine (day 3775, for 123 days); insulin lispro (day 3975, for 134 days); insulin glargine (day 3975, for 27 days); insulin glargine (day 4048, for 61 days); insulin glargine (day 4145, for 74 days); insulin lispro (day 4146, for 75 days); insulin lispro (day 4263, for 349 days); insulin glargine (day 4298, for 72 days); insulin glargine (day 4454, for 123 days); insulin lispro (day 4692, for 89 days); insulin glargine (day 4727, for 54 days); insulin glargine (day 4839, for 27 days); insulin lispro (day 4839, for 27 days); insulin glargine (day 4930, for 80 days); insulin lispro (day 4930, for 104 days); insulin lispro (day 5105, for 27 days); insulin glargine (day 5105, for 27 days); insulin glargine (day 6064, for 49 days); insulin lispro (day 6064, for 49 days); insulin lispro (day 6162, for 27 days); insulin glargine (day 6162, for 27 days); insulin glargine (day 6223, for 27 days); insulin lispro (day 6223, for 27 days); insulin glargine (day 6285, for 27 days); insulin glargine (day 6351, for 41 days); insulin lispro (day 6351, for 67 days);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643110884"/>
    <n v="50"/>
    <s v="Male"/>
    <s v="-833 days - 4200 days"/>
    <s v="Office Visit"/>
    <s v="10g monofilament sensation R foot normal (EHR); All pulses present in left foot (EHR); All pulses present in right foot (EHR); Type 1 diabetes mellitus (EHR);"/>
    <m/>
    <m/>
    <m/>
    <m/>
    <m/>
    <m/>
    <m/>
    <m/>
    <s v="Type 1 diabetes mellitus (day 1516)"/>
    <m/>
    <s v="insulin aspart, human (day 36, for 2022 days); insulin aspart, human (day 2091, for 372 days); insulin aspart, human (day 2497, for 28 days); insulin aspart, human (day 2561, for 26 days); insulin aspart, human (day 2629, for 0 days); insulin aspart, human (day 2666, for 0 days); insulin aspart, human (day 2699, for 0 days); insulin aspart, human (day 2738, for 0 days); insulin aspart, human (day 2770, for 49 days); insulin aspart, human (day 2861, for 155 days); insulin aspart, human (day 3052, for 104 days); insulin aspart, human (day 3203, for 766 days);"/>
    <m/>
    <x v="0"/>
  </r>
  <r>
    <n v="706710306"/>
    <n v="48"/>
    <s v="Male"/>
    <s v="-2693 days - 5002 days"/>
    <s v="Office Visit"/>
    <s v="Acute pancreatitis (EHR); Type 1 diabetes mellitus (EHR);"/>
    <m/>
    <m/>
    <m/>
    <m/>
    <m/>
    <m/>
    <m/>
    <m/>
    <s v="Chronic kidney disease stage 3 (day 2341); Diabetes mellitus (day 1670, 1800, 1922, 1985, 3353, 3612, 4397); Nonproliferative retinopathy due to diabetes mellitus (day 3251, 4517); Nonproliferative retinopathy of right eye due to diabetes mellitus (day 3251); Type 1 diabetes mellitus (day 1669)"/>
    <m/>
    <s v="insulin glargine (day 1670, for 157 days); insulin aspart, human (day 1823, for 27 days); insulin aspart, human (day 1894, for 55 days); insulin aspart, human (day 1985, for 27 days); insulin aspart, human (day 2066, for 94 days); insulin aspart, human (day 2227, for 0 days); insulin aspart, human (day 2271, for 0 days); insulin aspart, human (day 2334, for 0 days); insulin aspart, human (day 2387, for 0 days); insulin aspart, human (day 2478, for 0 days); insulin aspart, human (day 2517, for 0 days); insulin aspart, human (day 2591, for 0 days); insulin aspart, human (day 2642, for 0 days); insulin aspart, human (day 2706, for 0 days); insulin aspart, human (day 2765, for 0 days); insulin aspart, human (day 2823, for 0 days); insulin aspart, human (day 2871, for 0 days); insulin aspart, human (day 2934, for 0 days); insulin aspart, human (day 2990, for 0 days); insulin aspart, human (day 3060, for 0 days); insulin aspart, human (day 3129, for 0 days); insulin aspart, human (day 3182, for 0 days); insulin aspart, human (day 3244, for 0 days); insulin aspart, human (day 3313, for 0 days); insulin aspart, human (day 3353, for 0 days); insulin aspart, human (day 3452, for 0 days); insulin aspart, human (day 3538, for 0 days); insulin aspart, human (day 3612, for 0 days); insulin aspart, human (day 3697, for 0 days); insulin aspart, human (day 3760, for 0 days); insulin aspart, human (day 3843, for 0 days); insulin aspart, human (day 3922, for 0 days); insulin aspart, human (day 3998, for 0 days); insulin aspart, human (day 4081, for 0 days); insulin aspart, human (day 4148, for 0 days); insulin aspart, human (day 4211, for 0 days); insulin aspart, human (day 4308, for 0 days); insulin aspart, human (day 4397, for 0 days); insulin aspart, human (day 4461, for 0 days); insulin aspart, human (day 4533, for 0 days); insulin aspart, human (day 4595, for 0 days); insulin aspart, human (day 4649, for 0 days); insulin aspart, human (day 4698, for 0 days); insulin aspart, human (day 4756, for 0 days); insulin aspart, human (day 4824, for 0 days); insulin aspart, human (day 4887, for 14 days);"/>
    <m/>
    <x v="1"/>
  </r>
  <r>
    <n v="384210994"/>
    <n v="30"/>
    <s v="Male"/>
    <s v="-7106 days - 903 days"/>
    <s v="Office Visit"/>
    <s v="Asymptomatic periapical periodontitis (EHR); Dental caries (EHR); Type 1 diabetes mellitus (EHR);"/>
    <m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ays);"/>
    <m/>
    <x v="0"/>
  </r>
  <r>
    <n v="1502010397"/>
    <n v="15"/>
    <s v="Male"/>
    <s v="-1969 days - 1588 days"/>
    <s v="Office Visit"/>
    <s v="Atypical chest pain (EHR); Type 1 diabetes mellitus (EHR);"/>
    <m/>
    <m/>
    <m/>
    <m/>
    <m/>
    <m/>
    <m/>
    <m/>
    <s v="Type 1 diabetes mellitus (day 47, 677)"/>
    <m/>
    <s v="insulin aspart, human (day 1, for 1586 days); insulin, regular, human (day 1, for 44 days); metformin (day 1091, for 29 days); insulin glargine (day 1091, for 28 days); insulin glargine (day 1155, for 0 days); metformin (day 1155, for 41 days); insulin glargine (day 1189, for 89 days); metformin (day 1238, for 69 days); insulin glargine (day 1327, for 0 days); insulin glargine (day 1359, for 0 days); insulin glargine (day 1400, for 26 days); insulin glargine (day 1482, for 0 days);"/>
    <m/>
    <x v="0"/>
  </r>
  <r>
    <n v="503810366"/>
    <n v="72"/>
    <s v="Male"/>
    <s v="-5496 days - 1202 days"/>
    <s v="Office Visit"/>
    <s v="Blood pressure finding (EHR); Diabetes mellitus (EHR); Type 1 diabetes mellitus (EHR);"/>
    <m/>
    <m/>
    <s v="Cerebrovascular accident (day -162); Reactive depression (situational) (day -2647)"/>
    <m/>
    <m/>
    <m/>
    <m/>
    <m/>
    <s v="Depressive disorder (day 157, 262); Recurrent major depressive episodes (day 350)"/>
    <m/>
    <s v="insulin aspart, human (day 33, for 60 days); insulin glargine (day 125, for 98 days); insulin glargine (day 279, for 27 days); insulin glargine (day 369, for 67 days); insulin glargine (day 510, for 27 days); insulin glargine (day 614, for 74 days); insulin glargine (day 754, for 35 days); insulin glargine (day 930, for 27 days); insulin glargine (day 991, for 73 days); insulin glargine (day 1189, for 0 days);"/>
    <m/>
    <x v="0"/>
  </r>
  <r>
    <n v="5282710166"/>
    <n v="22"/>
    <s v="Male"/>
    <s v="-3845 days - 3300 days"/>
    <s v="Office Visit"/>
    <s v="Blood pressure finding (EHR); Diabetes mellitus (EHR); Type 1 diabetes mellitus (EHR);"/>
    <m/>
    <m/>
    <m/>
    <m/>
    <m/>
    <m/>
    <m/>
    <m/>
    <s v="Diabetic ketoacidosis (day 5); Ketoacidosis due to type 1 diabetes mellitus (day 2315)"/>
    <m/>
    <s v="insulin aspart, human (day 4, for 128 days); insulin aspart, human (day 245, for 27 days); insulin aspart, human (day 326, for 0 days); insulin aspart, human (day 441, for 0 days); insulin aspart, human (day 490, for 78 days); insulin aspart, human (day 636, for 85 days); insulin aspart, human (day 753, for 0 days); insulin aspart, human (day 788, for 0 days); insulin aspart, human (day 819, for 0 days); insulin aspart, human (day 854, for 0 days); insulin aspart, human (day 887, for 87 days); insulin aspart, human (day 1034, for 160 days); insulin aspart, human (day 1247, for 90 days); insulin aspart, human (day 1380, for 857 days); insulin aspart, human (day 2286, for 84 days); insulin aspart, human (day 2406, for 120 days); insulin aspart, human (day 2568, for 194 days); insulin aspart, human (day 2825, for 176 days); insulin lispro (day 3001, for 0 days); insulin lispro (day 3049, for 18 days); insulin lispro (day 3101, for 26 days); insulin lispro (day 3169, for 126 days);"/>
    <m/>
    <x v="1"/>
  </r>
  <r>
    <n v="153910595"/>
    <n v="60"/>
    <s v="Male"/>
    <s v="-938 days - 1257 days"/>
    <s v="Office Visit"/>
    <s v="Diabetes mellitus (EHR); Insulin treated type 2 diabetes mellitus (EHR); Type 1 diabetes mellitus (EHR);"/>
    <m/>
    <m/>
    <m/>
    <m/>
    <m/>
    <m/>
    <m/>
    <m/>
    <s v="Diabetes mellitus (day 323, 406, 1006); Type 1 diabetes mellitus (day 778, 1006); Type 2 diabetes mellitus (day 406)"/>
    <m/>
    <m/>
    <m/>
    <x v="2"/>
  </r>
  <r>
    <n v="239110163"/>
    <n v="11"/>
    <s v="Female"/>
    <s v="-893 days - 7129 days"/>
    <s v="Office Visit"/>
    <s v="Diabetes mellitus (EHR); Type 1 diabetes mellitus (EHR);"/>
    <m/>
    <m/>
    <m/>
    <m/>
    <m/>
    <m/>
    <m/>
    <m/>
    <s v="Diabetes mellitus (day 1418, 1936); Retinopathy due to diabetes mellitus (day 923)"/>
    <m/>
    <s v="insulin aspart, human (day 0, for 27 days); insulin aspart, human (day 66, for 27 days); insulin aspart, human (day 150, for 0 days); insulin aspart, human (day 229, for 0 days); insulin aspart, human (day 292, for 0 days); insulin aspart, human (day 354, for 0 days); insulin aspart, human (day 385, for 0 days); insulin glargine (day 445, for 27 days); insulin aspart, human (day 488, for 0 days); insulin glargine (day 528, for 27 days); insulin aspart, human (day 528, for 0 days); insulin glargine (day 586, for 27 days); insulin aspart, human (day 586, for 0 days); insulin aspart, human (day 633, for 0 days); insulin glargine (day 661, for 77 days); insulin aspart, human (day 691, for 0 days); insulin aspart, human (day 728, for 0 days); insulin glargine (day 769, for 84 days); insulin aspart, human (day 826, for 0 days); insulin aspart, human (day 886, for 0 days); insulin glargine (day 889, for 290 days); insulin aspart, human (day 944, for 53 days); insulin aspart, human (day 1047, for 0 days); insulin aspart, human (day 1099, for 0 days); insulin aspart, human (day 1152, for 0 days); insulin aspart, human (day 1187, for 0 days); insulin glargine (day 1215, for 1178 days); insulin aspart, human (day 1236, for 0 days); insulin aspart, human (day 1272, for 0 days); insulin aspart, human (day 1315, for 0 days); insulin aspart, human (day 1369, for 0 days); insulin aspart, human (day 1414, for 0 days); insulin aspart, human (day 1449, for 0 days); insulin aspart, human (day 1524, for 0 days); insulin aspart, human (day 1566, for 0 days); insulin aspart, human (day 1600, for 15 days); insulin aspart, human (day 1673, for 0 days); insulin aspart, human (day 1715, for 53 days); insulin aspart, human (day 1812, for 0 days); insulin aspart, human (day 1845, for 0 days); insulin aspart, human (day 1909, for 30 days); insulin aspart, human (day 2012, for 0 days); insulin aspart, human (day 2055, for 21 days); insulin aspart, human (day 2126, for 0 days); insulin aspart, human (day 2168, for 0 days); insulin aspart, human (day 2254, for 28 days); insulin aspart, human (day 2320, for 0 days); insulin aspart, human (day 2366, for 0 days); insulin aspart, human (day 2405, for 0 days); insulin glargine (day 2432, for 154 days); insulin aspart, human (day 2457, for 0 days); insulin aspart, human (day 2499, for 0 days); insulin aspart, human (day 2541, for 45 days); insulin glargine (day 2624, for 0 days); insulin glargine (day 2658, for 0 days); insulin aspart, human (day 2671, for 0 days); insulin glargine (day 2700, for 21 days); insulin aspart, human (day 2721, for 0 days); insulin glargine (day 2761, for 29 days); insulin aspart, human (day 2761, for 0 days); insulin aspart, human (day 2821, for 0 days); insulin glargine (day 2848, for 28 days); insulin aspart, human (day 2876, for 0 days); insulin aspart, human (day 2909, for 0 days); insulin glargine (day 2910, for 0 days); insulin aspart, human (day 2959, for 56 days); insulin glargine (day 2986, for 29 days); insulin aspart, human (day 3052, for 0 days); insulin glargine (day 3052, for 0 days); insulin aspart, human (day 3119, for 0 days); insulin glargine (day 3119, for 0 days); insulin aspart, human (day 3157, for 0 days); insulin glargine (day 3157, for 0 days); insulin glargine (day 3205, for 0 days); insulin glargine (day 3237, for 29 days); insulin aspart, human (day 3237, for 29 days); insulin glargine (day 3316, for 28 days); insulin aspart, human (day 3316, for 28 days); insulin glargine (day 3394, for 43 days); insulin aspart, human (day 3394, for 43 days); insulin glargine (day 3497, for 0 days); insulin aspart, human (day 3532, for 0 days); insulin glargine (day 3532, for 0 days); insulin glargine (day 3566, for 0 days); insulin aspart, human (day 3566, for 0 days); insulin glargine (day 3609, for 0 days); insulin aspart, human (day 3609, for 0 days); insulin glargine (day 3640, for 0 days); insulin aspart, human (day 3640, for 0 days); insulin glargine (day 3674, for 0 days); insulin aspart, human (day 3674, for 0 days); insulin glargine (day 3720, for 0 days); insulin aspart, human (day 3720, for 0 days); insulin aspart, human (day 3771, for 0 days); insulin glargine (day 3771, for 0 days); insulin glargine (day 3806, for 0 days); insulin aspart, human (day 3806, for 29 days); insulin glargine (day 3854, for 0 days); insulin aspart, human (day 3876, for 0 days); insulin glargine (day 3892, for 0 days); insulin aspart, human (day 3912, for 56 days); insulin glargine (day 3939, for 29 days); insulin glargine (day 4018, for 0 days); insulin aspart, human (day 4018, for 27 days); insulin glargine (day 4084, for 0 days); insulin aspart, human (day 4088, for 0 days); insulin glargine (day 4120, for 0 days); insulin aspart, human (day 4120, for 0 days); insulin aspart, human (day 4163, for 0 days); insulin glargine (day 4163, for 0 days); insulin glargine (day 4217, for 0 days); insulin aspart, human (day 4217, for 0 days); insulin aspart, human (day 4261, for 58 days); insulin glargine (day 4261, for 30 days); insulin glargine (day 4367, for 0 days); insulin aspart, human (day 4367, for 0 days); insulin aspart, human (day 4414, for 0 days); insulin glargine (day 4414, for 28 days); insulin glargine (day 4478, for 0 days); insulin aspart, human (day 4478, for 0 days); insulin glargine (day 4535, for 0 days); insulin aspart, human (day 4535, for 0 days); insulin glargine (day 4567, for 0 days); insulin aspart, human (day 4567, for 0 days); insulin aspart, human (day 4641, for 0 days); insulin glargine (day 4641, for 0 days); insulin glargine (day 4694, for 1 days); insulin aspart, human (day 4694, for 1 days); insulin aspart, human (day 4749, for 0 days); insulin glargine (day 4812, for 0 days); insulin aspart, human (day 4812, for 0 days); insulin glargine (day 4847, for 0 days); insulin aspart, human (day 4884, for 0 days); insulin glargine (day 4884, for 0 days); insulin glargine (day 4924, for 0 days); insulin aspart, human (day 4924, for 0 days); insulin aspart, human (day 5001, for 0 days); insulin glargine (day 5001, for 0 days); insulin glargine (day 5036, for 29 days); insulin aspart, human (day 5036, for 29 days); insulin aspart, human (day 5134, for 0 days); insulin glargine (day 5134, for 0 days); insulin glargine (day 5179, for 0 days); insulin aspart, human (day 5215, for 0 days); insulin glargine (day 5215, for 0 days); insulin aspart, human (day 5254, for 0 days); insulin glargine (day 5254, for 0 days); insulin glargine (day 5288, for 0 days); insulin aspart, human (day 5288, for 0 days); insulin glargine (day 5374, for 0 days); insulin aspart, human (day 5374, for 0 days); insulin glargine (day 5409, for 0 days); insulin aspart, human (day 5409, for 0 days); insulin aspart, human (day 5445, for 0 days); insulin glargine (day 5445, for 0 days); insulin aspart, human (day 5516, for 0 days); insulin glargine (day 5516, for 0 days); insulin aspart, human (day 5592, for 0 days); insulin glargine (day 5592, for 0 days); insulin glargine (day 5631, for 0 days); insulin aspart, human (day 5631, for 0 days); insulin glargine (day 5673, for 0 days); insulin aspart, human (day 5708, for 0 days); insulin glargine (day 5708, for 0 days); insulin glargine (day 5759, for 0 days); insulin aspart, human (day 5759, for 0 days); insulin glargine (day 5802, for 0 days); insulin aspart, human (day 5802, for 0 days); insulin glargine (day 5870, for 0 days); insulin aspart, human (day 5919, for 0 days); insulin glargine (day 5919, for 0 days); insulin glargine (day 5961, for 24 days); insulin aspart, human (day 5961, for 24 days); insulin degludec (day 6019, for 27 days); insulin aspart, human (day 6046, for 0 days); insulin degludec (day 6107, for 0 days); insulin aspart, human (day 6107, for 0 days); insulin aspart, human (day 6139, for 0 days); insulin degludec (day 6139, for 0 days); insulin aspart, human (day 6177, for 101 days); insulin degludec (day 6195, for 17 days); insulin degludec (day 6251, for 0 days); insulin glargine (day 6310, for 0 days); insulin aspart, human (day 6310, for 883 days); insulin glargine (day 6396, for 0 days); insulin glargine (day 6737, for 0 days); insulin glargine (day 7003, for 0 days);"/>
    <m/>
    <x v="1"/>
  </r>
  <r>
    <n v="258510963"/>
    <n v="48"/>
    <s v="Male"/>
    <s v="-611 days - 763 days"/>
    <s v="Office Visit"/>
    <s v="Diabetes mellitus (EHR); Type 1 diabetes mellitus (EHR);"/>
    <m/>
    <m/>
    <m/>
    <m/>
    <m/>
    <m/>
    <m/>
    <m/>
    <m/>
    <m/>
    <s v="insulin glargine (day 0, for 30 days); insulin aspart, human (day 16, for 52 days); insulin glargine (day 92, for 27 days); insulin aspart, human (day 104, for 27 days); insulin aspart, human (day 171, for 27 days); insulin aspart, human (day 233, for 27 days); insulin aspart, human (day 358, for 76 days); insulin glargine (day 479, for 27 days); insulin aspart, human (day 479, for 27 days); insulin glargine (day 686, for 27 days); insulin aspart, human (day 686, for 27 days); insulin aspart, human (day 751, for 27 days);"/>
    <m/>
    <x v="0"/>
  </r>
  <r>
    <n v="366910461"/>
    <n v="15"/>
    <s v="Male"/>
    <s v="-3416 days - 64 days"/>
    <s v="Office Visit"/>
    <s v="Diabetes mellitus (EHR); Type 1 diabetes mellitus (EHR);"/>
    <m/>
    <m/>
    <m/>
    <m/>
    <m/>
    <m/>
    <m/>
    <m/>
    <m/>
    <m/>
    <s v="insulin aspart, human (day 3, for 30 days);"/>
    <m/>
    <x v="0"/>
  </r>
  <r>
    <n v="592410349"/>
    <n v="21"/>
    <s v="Male"/>
    <s v="-851 days - 1213 days"/>
    <s v="Office Visit"/>
    <s v="Diabetes mellitus (EHR); Mass of skin (EHR); Type 1 diabetes mellitus (EHR);"/>
    <m/>
    <m/>
    <m/>
    <m/>
    <m/>
    <m/>
    <m/>
    <m/>
    <s v="Agitated depression (day 801); Diabetes mellitus (day 511, 750, 801, 854, 1014); Endogenous depression first episode (day 638); Reactive depression (situational) (day 24); Type 1 diabetes mellitus (day 194)"/>
    <m/>
    <s v="insulin, regular, human (day 7, for 27 days); insulin, regular, human (day 84, for 27 days); insulin, regular, human (day 143, for 311 days); insulin, regular, human (day 510, for 141 days); insulin, regular, human (day 706, for 153 days); insulin, regular, human (day 909, for 181 days); insulin, regular, human (day 1154, for 52 days);"/>
    <m/>
    <x v="0"/>
  </r>
  <r>
    <n v="1094310233"/>
    <n v="4"/>
    <s v="Male"/>
    <s v="-1374 days - 6593 days"/>
    <s v="Office Visit"/>
    <s v="Diabetes mellitus (EHR); Type 1 diabetes mellitus (EHR);"/>
    <m/>
    <m/>
    <m/>
    <m/>
    <m/>
    <m/>
    <m/>
    <m/>
    <s v="Herpes zoster (day 5397); Type 1 diabetes mellitus (day 4064)"/>
    <m/>
    <s v="insulin, regular, human (day 4, for 541 days); insulin, regular, human (day 710, for 27 days); insulin, regular, human (day 770, for 118 days); insulin, regular, human (day 920, for 27 days); insulin, regular, human (day 1013, for 620 days); insulin, regular, human (day 1669, for 62 days); insulin lispro (day 1747, for 1394 days); insulin glargine (day 3111, for 0 days); insulin glargine (day 3161, for 0 days); insulin lispro (day 3177, for 27 days); insulin glargine (day 3216, for 73 days); insulin lispro (day 3244, for 125 days); insulin glargine (day 3342, for 0 days); insulin glargine (day 3385, for 0 days); insulin glargine (day 3419, for 0 days); insulin lispro (day 3419, for 27 days); insulin lispro (day 3482, for 27 days); insulin glargine (day 3482, for 29 days); insulin glargine (day 3554, for 0 days); insulin lispro (day 3573, for 27 days); insulin glargine (day 3601, for 0 days); insulin glargine (day 3636, for 0 days); insulin lispro (day 3650, for 120 days); insulin glargine (day 3671, for 49 days); insulin glargine (day 3757, for 0 days); insulin glargine (day 3792, for 29 days); insulin lispro (day 3821, for 27 days); insulin glargine (day 3874, for 0 days); insulin lispro (day 3895, for 27 days); insulin glargine (day 3912, for 0 days); insulin glargine (day 3947, for 0 days); insulin lispro (day 3965, for 83 days); insulin glargine (day 3996, for 25 days); insulin glargine (day 4052, for 0 days); insulin lispro (day 4098, for 27 days); insulin glargine (day 4098, for 0 days); insulin glargine (day 4147, for 23 days); insulin lispro (day 4170, for 27 days); insulin glargine (day 4220, for 15 days); insulin lispro (day 4235, for 27 days); insulin glargine (day 4288, for 17 days); insulin lispro (day 4305, for 27 days); insulin glargine (day 4358, for 20 days); insulin lispro (day 4378, for 27 days); insulin glargine (day 4427, for 0 days); insulin lispro (day 4441, for 27 days); insulin glargine (day 4469, for 0 days); insulin glargine (day 4511, for 30 days); insulin lispro (day 4511, for 27 days); insulin glargine (day 4582, for 0 days); insulin lispro (day 4595, for 83 days); insulin glargine (day 4623, for 52 days); insulin lispro (day 4711, for 27 days); insulin glargine (day 4711, for 0 days); insulin glargine (day 4744, for 0 days); insulin lispro (day 4772, for 27 days); insulin glargine (day 4784, for 0 days); insulin glargine (day 4815, for 25 days); insulin lispro (day 4840, for 27 days); insulin glargine (day 4907, for 0 days); insulin lispro (day 4931, for 27 days); insulin glargine (day 4942, for 0 days); insulin glargine (day 4977, for 0 days); insulin lispro (day 4989, for 27 days); insulin glargine (day 5024, for 30 days); insulin lispro (day 5054, for 27 days); insulin glargine (day 5096, for 0 days); insulin glargine (day 5131, for 0 days); insulin lispro (day 5131, for 27 days); insulin glargine (day 5166, for 20 days); insulin lispro (day 5214, for 27 days); insulin glargine (day 5253, for 29 days); insulin lispro (day 5282, for 27 days); insulin glargine (day 5325, for 0 days); insulin lispro (day 5359, for 68 days); insulin glargine (day 5359, for 0 days); insulin glargine (day 5400, for 0 days); insulin glargine (day 5435, for 0 days); insulin glargine (day 5470, for 0 days); insulin lispro (day 5470, for 27 days); insulin glargine (day 5513, for 0 days); insulin glargine (day 5549, for 0 days); insulin lispro (day 5562, for 27 days); insulin glargine (day 5590, for 30 days); insulin lispro (day 5620, for 27 days); insulin glargine (day 5674, for 0 days); insulin lispro (day 5710, for 27 days); insulin glargine (day 5710, for 0 days); insulin glargine (day 5750, for 29 days); insulin lispro (day 5779, for 27 days); insulin glargine (day 5827, for 0 days); insulin glargine (day 5869, for 0 days); insulin lispro (day 5869, for 64 days); insulin glargine (day 5906, for 0 days); insulin glargine (day 5942, for 0 days); insulin glargine (day 5984, for 0 days); insulin lispro (day 6020, for 74 days); insulin glargine (day 6020, for 0 days); insulin glargine (day 6067, for 0 days); insulin glargine (day 6108, for 0 days); insulin lispro (day 6143, for 27 days); insulin glargine (day 6143, for 27 days); insulin glargine (day 6219, for 0 days); insulin lispro (day 6219, for 70 days); insulin glargine (day 6262, for 29 days); insulin lispro (day 6339, for 27 days); insulin glargine (day 6339, for 0 days); insulin glargine (day 6374, for 0 days); insulin glargine (day 6415, for 0 days); insulin lispro (day 6415, for 27 days); insulin glargine (day 6453, for 0 days); insulin glargine (day 6487, for 0 days); insulin lispro (day 6487, for 111 days); insulin glargine (day 6521, for 0 days); insulin glargine (day 6571, for 0 days);"/>
    <m/>
    <x v="0"/>
  </r>
  <r>
    <n v="1237910593"/>
    <n v="4"/>
    <s v="Male"/>
    <s v="-552 days - 4726 days"/>
    <s v="Office Visit"/>
    <s v="Diabetes mellitus (EHR); Type 1 diabetes mellitus (EHR);"/>
    <m/>
    <m/>
    <m/>
    <m/>
    <m/>
    <m/>
    <m/>
    <m/>
    <s v="Diabetic ketoacidosis (day 3178)"/>
    <m/>
    <s v="insulin, regular, human (day 407, for 205 days); insulin, regular, human (day 672, for 56 days); insulin, regular, human (day 782, for 119 days); insulin, regular, human (day 945, for 168 days); insulin, regular, human (day 1147, for 155 days); insulin, regular, human (day 1441, for 57 days); insulin, regular, human (day 1803, for 27 days); insulin, regular, human (day 1876, for 49 days); insulin aspart, human (day 1953, for 69 days); insulin glargine (day 1953, for 0 days); insulin glargine (day 2036, for 0 days); insulin aspart, human (day 2083, for 27 days); insulin aspart, human (day 2150, for 276 days); insulin glargine (day 2371, for 0 days); insulin aspart, human (day 2462, for 224 days); insulin glargine (day 2640, for 19 days); insulin aspart, human (day 2742, for 160 days); insulin glargine (day 2875, for 0 days); insulin aspart, human (day 2954, for 74 days); insulin glargine (day 2954, for 0 days); insulin glargine (day 3001, for 0 days); insulin aspart, human (day 3070, for 150 days); insulin glargine (day 3106, for 0 days); insulin glargine (day 3162, for 0 days); insulin glargine (day 3253, for 0 days); insulin aspart, human (day 3253, for 180 days); insulin glargine (day 3351, for 0 days); insulin glargine (day 3452, for 0 days); insulin aspart, human (day 3470, for 341 days); insulin glargine (day 3505, for 0 days); insulin glargine (day 3541, for 0 days); insulin glargine (day 3606, for 0 days); insulin glargine (day 3708, for 27 days); insulin glargine (day 3784, for 0 days); insulin aspart, human (day 3857, for 270 days); insulin glargine (day 3997, for 0 days); insulin glargine (day 4065, for 0 days); insulin aspart, human (day 4170, for 266 days); insulin glargine (day 4261, for 0 days); insulin glargine (day 4346, for 0 days); insulin glargine (day 4389, for 0 days); insulin aspart, human (day 4480, for 215 days); insulin glargine (day 4480, for 0 days); insulin glargine (day 4529, for 0 days); insulin glargine (day 4598, for 0 days); insulin glargine (day 4631, for 0 days);"/>
    <m/>
    <x v="1"/>
  </r>
  <r>
    <n v="1489110030"/>
    <n v="60"/>
    <s v="Female"/>
    <s v="-5976 days - 17 days"/>
    <s v="Office Visit"/>
    <s v="Diabetes mellitus (EHR); Type 1 diabetes mellitus (EHR);"/>
    <m/>
    <m/>
    <m/>
    <m/>
    <m/>
    <m/>
    <m/>
    <m/>
    <m/>
    <m/>
    <m/>
    <m/>
    <x v="2"/>
  </r>
  <r>
    <n v="3333010111"/>
    <n v="5"/>
    <s v="Female"/>
    <s v="-1970 days - 1022 days"/>
    <s v="Office Visit"/>
    <s v="Diabetes mellitus (EHR); Diabetic ketoacidosis (EHR); Type 1 diabetes mellitus (EHR);"/>
    <m/>
    <m/>
    <m/>
    <m/>
    <m/>
    <m/>
    <m/>
    <m/>
    <m/>
    <m/>
    <s v="insulin aspart, human (day 1, for 0 days); insulin aspart, human (day 43, for 33 days); insulin aspart, human (day 118, for 76 days); insulin aspart, human (day 259, for 59 days); insulin aspart, human (day 349, for 27 days); insulin aspart, human (day 433, for 83 days); insulin aspart, human (day 553, for 389 days); insulin aspart, human (day 973, for 60 days);"/>
    <m/>
    <x v="1"/>
  </r>
  <r>
    <n v="4298610465"/>
    <n v="33"/>
    <s v="Male"/>
    <s v="-572 days - 3364 days"/>
    <s v="Office Visit"/>
    <s v="Diabetes mellitus (EHR); Type 1 diabetes mellitus (EHR);"/>
    <m/>
    <m/>
    <m/>
    <m/>
    <m/>
    <m/>
    <m/>
    <m/>
    <s v="Diabetes mellitus (day 126, 2656, 2979); Neuropathy due to diabetes mellitus (day 2445); Type 1 diabetes mellitus (day 1886)"/>
    <m/>
    <s v="insulin, regular, human (day 22, for 27 days); insulin, regular, human (day 98, for 27 days); insulin, regular, human (day 156, for 27 days); insulin, regular, human (day 225, for 27 days); insulin, regular, human (day 311, for 55 days); insulin, regular, human (day 483, for 176 days); insulin, regular, human (day 743, for 623 days); insulin, regular, human (day 1453, for 55 days); insulin, regular, human (day 1540, for 55 days); insulin, regular, human (day 1673, for 76 days); insulin, regular, human (day 1843, for 55 days); insulin, regular, human (day 1985, for 292 days); insulin, regular, human (day 2422, for 27 days); insulin, regular, human (day 2548, for 2 days); insulin, regular, human (day 2621, for 2 days); insulin, regular, human (day 2662, for 30 days); insulin, regular, human (day 2741, for 2 days); insulin, regular, human (day 2800, for 2 days); insulin, regular, human (day 2864, for 2 days); insulin, regular, human (day 2919, for 2 days); insulin, regular, human (day 2979, for 2 days); insulin, regular, human (day 3125, for 2 days);"/>
    <m/>
    <x v="1"/>
  </r>
  <r>
    <n v="863610325"/>
    <n v="23"/>
    <s v="Female"/>
    <s v="-4706 days - 3281 days"/>
    <s v="Office Visit"/>
    <s v="Diabetic ketoacidosis (EHR); Type 1 diabetes mellitus (EHR);"/>
    <m/>
    <m/>
    <m/>
    <m/>
    <m/>
    <m/>
    <m/>
    <m/>
    <m/>
    <m/>
    <s v="insulin glargine (day 7, for 0 days); insulin aspart, human (day 7, for 0 days); insulin aspart, human (day 64, for 0 days); insulin aspart, human (day 105, for 0 days); insulin glargine (day 138, for 0 days); insulin aspart, human (day 174, for 0 days); insulin aspart, human (day 228, for 0 days); insulin glargine (day 228, for 0 days); insulin aspart, human (day 307, for 0 days); insulin aspart, human (day 354, for 0 days); insulin glargine (day 354, for 0 days); insulin glargine (day 447, for 0 days); insulin aspart, human (day 447, for 0 days); insulin glargine (day 496, for 0 days); insulin aspart, human (day 496, for 0 days); insulin aspart, human (day 588, for 0 days); insulin glargine (day 650, for 0 days); insulin aspart, human (day 650, for 0 days); insulin aspart, human (day 691, for 0 days); insulin glargine (day 691, for 0 days); insulin aspart, human (day 868, for 0 days); insulin glargine (day 868, for 0 days); insulin glargine (day 1027, for 0 days); insulin aspart, human (day 1027, for 0 days); insulin glargine (day 1077, for 22 days); insulin aspart, human (day 1077, for 22 days); insulin glargine (day 1223, for 0 days); insulin aspart, human (day 1223, for 0 days); insulin aspart, human (day 1364, for 20 days); insulin glargine (day 1384, for 0 days); insulin aspart, human (day 1470, for 0 days); insulin glargine (day 1470, for 0 days); insulin aspart, human (day 1727, for 0 days); insulin glargine (day 1727, for 0 days); insulin aspart, human (day 1790, for 0 days); insulin glargine (day 1790, for 0 days); insulin aspart, human (day 1869, for 28 days); insulin glargine (day 1869, for 28 days); insulin aspart, human (day 1950, for 0 days); insulin glargine (day 1950, for 0 days); insulin aspart, human (day 2021, for 0 days); insulin glargine (day 2021, for 0 days); insulin aspart, human (day 2056, for 0 days); insulin glargine (day 2056, for 0 days); insulin aspart, human (day 2106, for 0 days); insulin glargine (day 2106, for 0 days); insulin aspart, human (day 2183, for 0 days); insulin aspart, human (day 2241, for 0 days); insulin glargine (day 2241, for 0 days); insulin aspart, human (day 2332, for 0 days); insulin glargine (day 2427, for 0 days); insulin aspart, human (day 2427, for 0 days); insulin glargine (day 2462, for 0 days); insulin aspart, human (day 2462, for 0 days); insulin aspart, human (day 2568, for 0 days); insulin glargine (day 2660, for 0 days); insulin aspart, human (day 2660, for 0 days); insulin glargine (day 2756, for 0 days); insulin aspart, human (day 2756, for 0 days); insulin glargine (day 2819, for 0 days); insulin aspart, human (day 2819, for 0 days); insulin aspart, human (day 2862, for 0 days); insulin aspart, human (day 2923, for 0 days); insulin glargine (day 2923, for 0 days); insulin glargine (day 2988, for 0 days); insulin aspart, human (day 2988, for 0 days); insulin aspart, human (day 3046, for 0 days); insulin aspart, human (day 3100, for 0 days); insulin glargine (day 3217, for 0 days); insulin aspart, human (day 3217, for 0 days); insulin aspart, human (day 3268, for 0 days); insulin glargine (day 3268, for 0 days);"/>
    <m/>
    <x v="1"/>
  </r>
  <r>
    <n v="3882310263"/>
    <n v="6"/>
    <s v="Male"/>
    <s v="-2146 days - 399 days"/>
    <s v="Office Visit"/>
    <s v="Hyperglycemia (EHR); Type 1 diabetes mellitus (EHR);"/>
    <m/>
    <m/>
    <m/>
    <m/>
    <m/>
    <m/>
    <m/>
    <m/>
    <m/>
    <m/>
    <s v="insulin aspart, human (day 9, for 27 days); insulin aspart, human (day 74, for 27 days); insulin aspart, human (day 134, for 27 days); insulin aspart, human (day 212, for 69 days); insulin degludec (day 319, for 0 days); insulin aspart, human (day 351, for 27 days); insulin degludec (day 351, for 0 days);"/>
    <m/>
    <x v="1"/>
  </r>
  <r>
    <n v="502810717"/>
    <n v="35"/>
    <s v="Male"/>
    <s v="-6642 days - 967 days"/>
    <s v="Office Visit"/>
    <s v="Ketoacidosis due to type 1 diabetes mellitus (EHR); Type 1 diabetes mellitus (EHR);"/>
    <m/>
    <m/>
    <s v="Mixed anxiety and depressive disorder (day -5692); Recurrent depression (day -930)"/>
    <m/>
    <m/>
    <m/>
    <m/>
    <m/>
    <m/>
    <m/>
    <s v="insulin glargine (day 6, for 101 days); insulin aspart, human (day 6, for 101 days); insulin glargine (day 147, for 211 days); insulin aspart, human (day 147, for 211 days); insulin glargine (day 392, for 0 days); insulin aspart, human (day 392, for 0 days); insulin aspart, human (day 425, for 56 days); insulin glargine (day 425, for 56 days); insulin aspart, human (day 512, for 140 days); insulin glargine (day 512, for 140 days); insulin glargine (day 685, for 27 days); insulin aspart, human (day 685, for 27 days); insulin glargine (day 748, for 0 days); insulin aspart, human (day 748, for 0 days); insulin aspart, human (day 782, for 0 days); insulin glargine (day 782, for 0 days); insulin glargine (day 825, for 0 days); insulin aspart, human (day 825, for 0 days); insulin glargine (day 870, for 0 days); insulin aspart, human (day 870, for 0 days); insulin glargine (day 910, for 27 days); insulin aspart, human (day 910, for 27 days);"/>
    <m/>
    <x v="1"/>
  </r>
  <r>
    <n v="811810047"/>
    <n v="66"/>
    <s v="Male"/>
    <s v="-6128 days - 302 days"/>
    <s v="Office Visit"/>
    <s v="Ketoacidosis due to type 1 diabetes mellitus (EHR); Type 1 diabetes mellitus (EHR);"/>
    <m/>
    <m/>
    <m/>
    <m/>
    <m/>
    <m/>
    <m/>
    <m/>
    <m/>
    <m/>
    <s v="insulin glargine (day 25, for 150 days); insulin aspart, human (day 28, for 0 days); insulin aspart, human (day 63, for 0 days); insulin aspart, human (day 148, for 0 days); insulin glargine (day 206, for 69 days); insulin aspart, human (day 206, for 0 days); insulin aspart, human (day 248, for 0 days); insulin aspart, human (day 298, for 0 days);"/>
    <m/>
    <x v="1"/>
  </r>
  <r>
    <n v="1626210870"/>
    <n v="4"/>
    <s v="Female"/>
    <s v="-1373 days - 1158 days"/>
    <s v="Office Visit"/>
    <s v="Ketoacidosis due to type 1 diabetes mellitus (EHR); Type 1 diabetes mellitus (EHR);"/>
    <m/>
    <m/>
    <m/>
    <m/>
    <m/>
    <m/>
    <m/>
    <m/>
    <m/>
    <m/>
    <s v="insulin glargine (day 7, for 46 days); insulin aspart, human (day 7, for 46 days); insulin aspart, human (day 160, for 27 days); insulin aspart, human (day 221, for 926 days); insulin glargine (day 221, for 309 days);"/>
    <m/>
    <x v="1"/>
  </r>
  <r>
    <n v="2213210607"/>
    <n v="45"/>
    <s v="Female"/>
    <s v="-5870 days - 361 days"/>
    <s v="Office Visit"/>
    <s v="Ketoacidosis due to type 1 diabetes mellitus (EHR);"/>
    <m/>
    <m/>
    <m/>
    <m/>
    <m/>
    <m/>
    <m/>
    <m/>
    <s v="Type 1 diabetes mellitus (day 13)"/>
    <m/>
    <s v="insulin aspart, human (day 14, for 0 days); insulin glargine (day 14, for 0 days); insulin glargine (day 55, for 0 days); insulin aspart, human (day 55, for 0 days); insulin glargine (day 124, for 54 days); insulin aspart, human (day 154, for 24 days); insulin aspart, human (day 228, for 0 days); insulin glargine (day 242, for 0 days); insulin aspart, human (day 291, for 0 days); insulin glargine (day 291, for 0 days); insulin glargine (day 343, for 0 days); insulin aspart, human (day 343, for 0 days);"/>
    <m/>
    <x v="1"/>
  </r>
  <r>
    <n v="5494710200"/>
    <n v="13"/>
    <s v="Male"/>
    <s v="-4682 days - 160 days"/>
    <s v="Office Visit"/>
    <s v="Nocturia (EHR); Type 1 diabetes mellitus (EHR);"/>
    <m/>
    <m/>
    <m/>
    <m/>
    <m/>
    <m/>
    <m/>
    <m/>
    <m/>
    <m/>
    <s v="insulin aspart, human (day 15, for 27 days); insulin degludec (day 15, for 27 days); insulin degludec (day 74, for 0 days); insulin aspart, human (day 74, for 0 days); insulin aspart, human (day 107, for 0 days); insulin degludec (day 107, for 0 days); insulin aspart, human (day 143, for 0 days); insulin degludec (day 143, for 0 days);"/>
    <m/>
    <x v="1"/>
  </r>
  <r>
    <n v="1525510677"/>
    <n v="36"/>
    <s v="Male"/>
    <s v="-1456 days - 7966 days"/>
    <s v="Office Visit"/>
    <s v="Thyrotoxicosis (EHR); Type 1 diabetes mellitus (EHR);"/>
    <m/>
    <m/>
    <m/>
    <m/>
    <m/>
    <m/>
    <m/>
    <m/>
    <s v="Diabetes mellitus (day 204); Disorder of left macula due to diabetes mellitus (day 6596); Disorder of macula due to diabetes mellitus (day 6524, 6596); Nonproliferative retinopathy due to diabetes mellitus (day 5136, 5586, 6524, 6596, 6827); Nonproliferative retinopathy of left eye due to diabetes mellitus (day 5136, 5586, 6524, 6596); Nonproliferative retinopathy of right eye due to diabetes mellitus (day 5586, 6524, 6596); Peripheral nerve disease (day 4493); Type 1 diabetes mellitus (day 245, 1184, 1227, 1281, 1342, 1609, 1771, 2051)"/>
    <m/>
    <s v="insulin aspart, human (day 218, for 152 days); insulin aspart, human (day 413, for 0 days); insulin aspart, human (day 469, for 0 days); insulin aspart, human (day 510, for 0 days); insulin aspart, human (day 566, for 0 days); insulin aspart, human (day 621, for 0 days); insulin aspart, human (day 672, for 0 days); insulin aspart, human (day 716, for 0 days); insulin aspart, human (day 775, for 0 days); insulin aspart, human (day 819, for 0 days); insulin aspart, human (day 873, for 0 days); insulin aspart, human (day 931, for 0 days); insulin aspart, human (day 972, for 0 days); insulin aspart, human (day 1041, for 0 days); insulin aspart, human (day 1076, for 0 days); insulin aspart, human (day 1136, for 0 days); insulin aspart, human (day 1189, for 0 days); insulin aspart, human (day 1230, for 0 days); insulin aspart, human (day 1294, for 0 days); insulin aspart, human (day 1337, for 0 days); insulin aspart, human (day 1395, for 0 days); insulin aspart, human (day 1437, for 0 days); insulin aspart, human (day 1498, for 0 days); insulin aspart, human (day 1541, for 0 days); insulin aspart, human (day 1595, for 0 days); insulin aspart, human (day 1631, for 0 days); insulin aspart, human (day 1679, for 0 days); insulin aspart, human (day 1735, for 0 days); insulin aspart, human (day 1791, for 0 days); insulin aspart, human (day 1833, for 0 days); insulin aspart, human (day 1881, for 0 days); insulin aspart, human (day 1940, for 0 days); insulin aspart, human (day 1974, for 0 days); insulin aspart, human (day 2037, for 0 days); insulin aspart, human (day 2092, for 0 days); insulin aspart, human (day 2140, for 0 days); insulin aspart, human (day 2199, for 0 days); insulin aspart, human (day 2234, for 0 days); insulin aspart, human (day 2287, for 0 days); insulin aspart, human (day 2346, for 28 days); insulin aspart, human (day 2428, for 0 days); insulin aspart, human (day 2485, for 0 days); insulin aspart, human (day 2521, for 0 days); insulin aspart, human (day 2581, for 0 days); insulin aspart, human (day 2631, for 0 days); insulin aspart, human (day 2674, for 0 days); insulin aspart, human (day 2744, for 0 days); insulin aspart, human (day 2785, for 0 days); insulin aspart, human (day 2870, for 0 days); insulin aspart, human (day 2906, for 0 days); insulin aspart, human (day 2968, for 0 days); insulin aspart, human (day 3003, for 0 days); insulin aspart, human (day 3065, for 0 days); insulin aspart, human (day 3122, for 0 days); insulin aspart, human (day 3176, for 0 days); insulin aspart, human (day 3220, for 0 days); insulin aspart, human (day 3271, for 0 days); insulin aspart, human (day 3317, for 0 days); insulin aspart, human (day 3369, for 0 days); insulin aspart, human (day 3430, for 0 days); insulin aspart, human (day 3486, for 0 days); insulin aspart, human (day 3534, for 0 days); insulin aspart, human (day 3584, for 0 days); insulin aspart, human (day 3628, for 164 days); insulin glargine (day 3746, for 26 days); insulin glargine (day 3810, for 21 days); insulin aspart, human (day 3831, for 0 days); insulin glargine (day 3884, for 0 days); insulin glargine (day 3918, for 0 days); insulin aspart, human (day 3918, for 0 days); insulin glargine (day 3974, for 21 days); insulin aspart, human (day 3974, for 21 days); insulin glargine (day 4051, for 0 days); insulin aspart, human (day 4122, for 0 days); insulin aspart, human (day 4269, for 0 days); insulin aspart, human (day 4325, for 0 days); insulin aspart, human (day 4424, for 0 days); insulin aspart, human (day 4510, for 0 days); insulin aspart, human (day 4629, for 0 days); insulin aspart, human (day 4689, for 0 days); insulin aspart, human (day 4836, for 0 days); insulin aspart, human (day 4927, for 0 days); insulin aspart, human (day 5054, for 0 days); insulin aspart, human (day 5091, for 0 days); insulin aspart, human (day 5146, for 0 days); insulin aspart, human (day 5208, for 0 days); insulin aspart, human (day 5406, for 0 days); insulin aspart, human (day 5560, for 0 days); insulin aspart, human (day 5671, for 0 days); insulin aspart, human (day 5759, for 0 days); insulin aspart, human (day 5819, for 0 days); insulin aspart, human (day 5936, for 0 days); insulin aspart, human (day 6041, for 0 days); insulin aspart, human (day 6091, for 0 days); insulin aspart, human (day 6195, for 0 days); insulin aspart, human (day 6260, for 27 days); insulin aspart, human (day 6518, for 0 days); insulin aspart, human (day 6560, for 0 days); insulin aspart, human (day 6676, for 0 days); insulin aspart, human (day 6772, for 4 days); insulin aspart, human (day 6928, for 0 days); insulin aspart, human (day 7019, for 0 days); insulin glargine (day 7022, for 48 days); insulin aspart, human (day 7070, for 0 days); insulin glargine (day 7103, for 0 days); insulin glargine (day 7141, for 27 days); insulin aspart, human (day 7160, for 8 days); insulin glargine (day 7208, for 25 days); insulin glargine (day 7280, for 6 days); insulin aspart, human (day 7286, for 0 days); insulin glargine (day 7330, for 0 days); insulin aspart, human (day 7379, for 0 days); insulin glargine (day 7379, for 0 days); insulin glargine (day 7415, for 0 days); insulin aspart, human (day 7440, for 0 days); insulin glargine (day 7471, for 0 days); insulin aspart, human (day 7483, for 0 days); insulin glargine (day 7506, for 0 days); insulin glargine (day 7539, for 0 days); insulin aspart, human (day 7548, for 0 days); insulin glargine (day 7593, for 0 days); insulin aspart, human (day 7630, for 0 days); insulin glargine (day 7630, for 21 days); insulin glargine (day 7692, for 24 days); insulin aspart, human (day 7692, for 0 days); insulin aspart, human (day 7771, for 0 days); insulin glargine (day 7771, for 0 days); insulin glargine (day 7814, for 0 days); insulin aspart, human (day 7814, for 0 days); insulin aspart, human (day 7863, for 0 days); insulin glargine (day 7863, for 26 days); insulin glargine (day 7923, for 0 days); insulin aspart, human (day 7937, for 0 days);"/>
    <m/>
    <x v="1"/>
  </r>
  <r>
    <n v="3810766"/>
    <n v="11"/>
    <s v="Male"/>
    <s v="-2710 days - 2698 days"/>
    <s v="Office Visit"/>
    <s v="Type 1 diabetes mellitus (EHR);"/>
    <m/>
    <m/>
    <m/>
    <m/>
    <m/>
    <m/>
    <m/>
    <m/>
    <s v="Nonproliferative retinopathy of left eye due to diabetes mellitus (day 2465)"/>
    <m/>
    <s v="insulin aspart, human (day 3, for 27 days); insulin, regular, human (day 3, for 1 days); insulin aspart, human (day 179, for 27 days); insulin glargine (day 213, for 0 days); insulin glargine (day 325, for 0 days); insulin aspart, human (day 403, for 27 days); insulin glargine (day 403, for 0 days); insulin glargine (day 456, for 30 days); insulin glargine (day 584, for 0 days); insulin aspart, human (day 598, for 186 days); insulin glargine (day 630, for 0 days); insulin glargine (day 672, for 0 days); insulin glargine (day 708, for 49 days); insulin glargine (day 805, for 0 days); insulin aspart, human (day 871, for 27 days); insulin glargine (day 871, for 0 days); insulin glargine (day 906, for 20 days); insulin aspart, human (day 934, for 27 days); insulin glargine (day 966, for 0 days); insulin glargine (day 1005, for 21 days); insulin aspart, human (day 1026, for 27 days); insulin glargine (day 1073, for 49 days); insulin aspart, human (day 1122, for 27 days); insulin glargine (day 1162, for 35 days); insulin aspart, human (day 1221, for 31 days); insulin glargine (day 1334, for 0 days); insulin aspart, human (day 1387, for 27 days); insulin glargine (day 1431, for 0 days); insulin glargine (day 1586, for 0 days); insulin glargine (day 1753, for 27 days); insulin aspart, human (day 1780, for 27 days); insulin glargine (day 1885, for 0 days); insulin aspart, human (day 1885, for 27 days); insulin aspart, human (day 2038, for 27 days); insulin glargine (day 2038, for 0 days); insulin aspart, human (day 2130, for 27 days); insulin glargine (day 2130, for 0 days); insulin aspart, human (day 2219, for 27 days); insulin glargine (day 2345, for 0 days); insulin aspart, human (day 2345, for 27 days); insulin glargine (day 2415, for 0 days); insulin aspart, human (day 2415, for 27 days); insulin glargine (day 2479, for 0 days); insulin aspart, human (day 2479, for 27 days); insulin glargine (day 2642, for 0 days); insulin aspart, human (day 2683, for 27 days); insulin glargine (day 2683, for 0 days);"/>
    <m/>
    <x v="1"/>
  </r>
  <r>
    <n v="4610438"/>
    <n v="72"/>
    <s v="Male"/>
    <s v="-7344 days - 1896 days"/>
    <s v="Office Visit"/>
    <s v="Type 1 diabetes mellitus (EHR); Type 2 diabetes mellitus (EHR);"/>
    <m/>
    <m/>
    <s v="Chronic kidney disease stage 3A (day -379)"/>
    <m/>
    <m/>
    <m/>
    <m/>
    <m/>
    <s v="Carpal tunnel syndrome (day 1788); Chronic kidney disease stage 3B (day 175)"/>
    <m/>
    <s v="insulin aspart, human (day 3, for 0 days); insulin glargine (day 41, for 27 days); insulin aspart, human (day 41, for 27 days); insulin aspart, human (day 160, for 49 days); insulin glargine (day 160, for 49 days); insulin glargine (day 461, for 27 days); insulin glargine (day 577, for 27 days); insulin aspart, human (day 681, for 27 days); insulin glargine (day 681, for 27 days); insulin aspart, human (day 794, for 27 days); insulin glargine (day 794, for 27 days); insulin glargine (day 864, for 27 days); insulin glargine (day 941, for 27 days); insulin glargine (day 1018, for 27 days); insulin glargine (day 1122, for 27 days); insulin glargine (day 1204, for 27 days); insulin glargine (day 1277, for 27 days); insulin glargine (day 1351, for 27 days); insulin glargine (day 1434, for 27 days); insulin glargine (day 1533, for 27 days); insulin glargine (day 1613, for 27 days); insulin glargine (day 1697, for 79 days); insulin glargine (day 1827, for 27 days); insulin aspart, human (day 1833, for 0 days);"/>
    <m/>
    <x v="2"/>
  </r>
  <r>
    <n v="9710983"/>
    <n v="12"/>
    <s v="Male"/>
    <s v="-2448 days - 5280 days"/>
    <s v="Office Visit"/>
    <s v="Type 1 diabetes mellitus (EHR);"/>
    <m/>
    <m/>
    <m/>
    <m/>
    <m/>
    <m/>
    <m/>
    <m/>
    <s v="Nonproliferative retinopathy of right eye due to diabetes mellitus (day 2176)"/>
    <m/>
    <s v="insulin aspart, human (day 3, for 30 days); insulin aspart, human (day 68, for 30 days); insulin aspart, human (day 130, for 56 days); insulin aspart, human (day 250, for 28 days); insulin aspart, human (day 314, for 1088 days); insulin aspart, human (day 1441, for 377 days); insulin aspart, human (day 1875, for 1910 days); insulin aspart, human (day 3839, for 27 days); insulin aspart, human (day 3931, for 78 days); insulin aspart, human (day 4078, for 63 days); insulin aspart, human (day 4248, for 110 days); insulin aspart, human (day 4441, for 27 days); insulin aspart, human (day 4499, for 27 days); insulin aspart, human (day 4689, for 136 days); insulin aspart, human (day 4870, for 112 days); insulin aspart, human (day 5066, for 103 days); insulin aspart, human (day 5255, for 27 days);"/>
    <m/>
    <x v="1"/>
  </r>
  <r>
    <n v="62910668"/>
    <n v="59"/>
    <s v="Male"/>
    <s v="-3237 days - 2951 days"/>
    <s v="Office Visit"/>
    <s v="Type 1 diabetes mellitus (EHR);"/>
    <m/>
    <m/>
    <m/>
    <m/>
    <m/>
    <m/>
    <m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ys); insulin glargine (day 279, for 0 days); insulin aspart, human (day 349, for 0 days); insulin glargine (day 349, for 0 days); insulin aspart, human (day 392, for 0 days); insulin glargine (day 434, for 0 days); insulin aspart, human (day 434, for 0 days); insulin glargine (day 475, for 0 days); insulin aspart, human (day 475, for 0 days); insulin aspart, human (day 508, for 0 days); insulin aspart, human (day 542, for 0 days); insulin glargine (day 542, for 0 days); insulin aspart, human (day 607, for 0 days); insulin glargine (day 607, for 0 days); insulin glargine (day 661, for 0 days); insulin aspart, human (day 661, for 24 days); insulin aspart, human (day 738, for 0 days); insulin glargine (day 738, for 0 days); insulin glargine (day 782, for 0 days); insulin aspart, human (day 782, for 0 days); insulin aspart, human (day 819, for 21 days); insulin glargine (day 840, for 0 days); insulin aspart, human (day 875, for 0 days); insulin glargine (day 901, for 0 days); insulin aspart, human (day 927, for 30 days); insulin glargine (day 957, for 0 days); insulin aspart, human (day 1005, for 23 days); insulin glargine (day 1028, for 0 days); insulin aspart, human (day 1081, for 24 days); insulin glargine (day 1081, for 0 days); insulin aspart, human (day 1152, for 23 days); insulin glargine (day 1152, for 0 days); insulin aspart, human (day 1217, for 54 days); insulin glargine (day 1217, for 0 days); insulin glargine (day 1271, for 0 days); insulin aspart, human (day 1322, for 22 days); insulin glargine (day 1344, for 0 days); insulin aspart, human (day 1389, for 57 days); insulin glargine (day 1389, for 0 days); insulin glargine (day 1474, for 0 days); insulin aspart, human (day 1495, for 28 days); insulin glargine (day 1523, for 0 days); insulin aspart, human (day 1593, for 0 days); insulin glargine (day 1617, for 0 days); insulin aspart, human (day 1629, for 741 days); insulin glargine (day 1699, for 0 days); insulin glargine (day 1743, for 0 days); insulin glargine (day 1825, for 0 days); insulin glargine (day 1888, for 0 days); insulin glargine (day 1958, for 0 days); insulin glargine (day 2028, for 0 days); insulin glargine (day 2113, for 0 days); insulin glargine (day 2190, for 0 days); insulin glargine (day 2252, for 0 days); insulin glargine (day 2323, for 0 days); insulin glargine (day 2407, for 0 days); insulin aspart, human (day 2407, for 567 days); insulin glargine (day 2442, for 0 days); insulin glargine (day 2518, for 0 days); insulin glargine (day 2632, for 0 days); insulin glargine (day 2714, for 0 days); insulin glargine (day 2792, for 0 days); insulin glargine (day 2869, for 0 days); insulin glargine (day 2931, for 0 days);"/>
    <m/>
    <x v="0"/>
  </r>
  <r>
    <n v="70210987"/>
    <n v="75"/>
    <s v="Male"/>
    <s v="-8396 days - 223 days"/>
    <s v="Office Visit"/>
    <s v="Type 1 diabetes mellitus (EHR);"/>
    <m/>
    <m/>
    <m/>
    <m/>
    <m/>
    <m/>
    <m/>
    <m/>
    <m/>
    <m/>
    <m/>
    <m/>
    <x v="2"/>
  </r>
  <r>
    <n v="87610928"/>
    <n v="14"/>
    <s v="Male"/>
    <s v="-607 days - 2057 days"/>
    <s v="Office Visit"/>
    <s v="Type 1 diabetes mellitus (EHR);"/>
    <m/>
    <m/>
    <m/>
    <m/>
    <m/>
    <m/>
    <m/>
    <m/>
    <s v="Retinopathy due to diabetes mellitus (day 310)"/>
    <m/>
    <s v="insulin aspart, human (day 11, for 1265 days); insulin aspart, human (day 1308, for 214 days); insulin aspart, human (day 1598, for 209 days); insulin aspart, human (day 1852, for 27 days); insulin aspart, human (day 1917, for 67 days); insulin aspart, human (day 2049, for 27 days);"/>
    <m/>
    <x v="1"/>
  </r>
  <r>
    <n v="92810885"/>
    <n v="24"/>
    <s v="Male"/>
    <s v="-4424 days - 2396 days"/>
    <s v="Office Visit"/>
    <s v="Type 1 diabetes mellitus (EHR);"/>
    <m/>
    <m/>
    <m/>
    <m/>
    <m/>
    <m/>
    <m/>
    <m/>
    <s v="Nonproliferative retinopathy of right eye due to diabetes mellitus (day 1269, 1971); Type 1 diabetes mellitus (day 555, 1862)"/>
    <m/>
    <s v="insulin aspart, human (day 176, for 27 days); insulin aspart, human (day 249, for 27 days); insulin aspart, human (day 555, for 27 days); insulin aspart, human (day 617, for 902 days); insulin aspart, human (day 1576, for 167 days); insulin aspart, human (day 1808, for 187 days); insulin aspart, human (day 2073, for 82 days); insulin aspart, human (day 2219, for 156 days);"/>
    <m/>
    <x v="1"/>
  </r>
  <r>
    <n v="129310347"/>
    <n v="30"/>
    <s v="Male"/>
    <s v="-1008 days - 1233 days"/>
    <s v="Office Visit"/>
    <s v="Type 1 diabetes mellitus (EHR);"/>
    <m/>
    <m/>
    <m/>
    <m/>
    <m/>
    <m/>
    <m/>
    <m/>
    <s v="Ketoacidosis due to type 1 diabetes mellitus (day 5)"/>
    <m/>
    <s v="insulin aspart, human (day 9, for 137 days); insulin aspart, human (day 181, for 113 days); insulin aspart, human (day 342, for 642 days); insulin aspart, human (day 1038, for 188 days);"/>
    <m/>
    <x v="1"/>
  </r>
  <r>
    <n v="214510962"/>
    <n v="67"/>
    <s v="Female"/>
    <s v="-4356 days - 3806 days"/>
    <s v="Office Visit"/>
    <s v="Type 1 diabetes mellitus (EHR);"/>
    <m/>
    <m/>
    <s v="Nephrocalcinosis (day -1793)"/>
    <m/>
    <m/>
    <m/>
    <m/>
    <m/>
    <m/>
    <m/>
    <s v="insulin glargine (day 0, for 0 days); insulin aspart, human (day 0, for 0 days); insulin aspart, human (day 241, for 0 days); insulin glargine (day 241, for 0 days); insulin glargine (day 377, for 0 days); insulin aspart, human (day 377, for 0 days); insulin glargine (day 461, for 0 days); insulin aspart, human (day 461, for 0 days); insulin glargine (day 574, for 0 days); insulin aspart, human (day 574, for 0 days); insulin aspart, human (day 670, for 0 days); insulin glargine (day 670, for 0 days); insulin aspart, human (day 759, for 0 days); insulin glargine (day 759, for 0 days); insulin glargine (day 847, for 0 days); insulin aspart, human (day 847, for 0 days); insulin aspart, human (day 945, for 0 days); insulin glargine (day 945, for 0 days); insulin aspart, human (day 1053, for 0 days); insulin glargine (day 1053, for 0 days); insulin aspart, human (day 1124, for 0 days); insulin glargine (day 1124, for 0 days); insulin glargine (day 1231, for 0 days); insulin aspart, human (day 1231, for 0 days); insulin degludec (day 1316, for 0 days); insulin aspart, human (day 1316, for 0 days); insulin degludec (day 1392, for 0 days); insulin aspart, human (day 1407, for 0 days); insulin degludec (day 1463, for 0 days); insulin aspart, human (day 1463, for 0 days); insulin degludec (day 1609, for 0 days); insulin aspart, human (day 1609, for 0 days); insulin aspart, human (day 1659, for 0 days); insulin degludec (day 1659, for 0 days); insulin degludec (day 1796, for 0 days); insulin aspart, human (day 1796, for 0 days); insulin degludec (day 1834, for 0 days); insulin aspart, human (day 1834, for 0 days); insulin degludec (day 2021, for 0 days); insulin aspart, human (day 2021, for 0 days); insulin aspart, human (day 2068, for 0 days); insulin degludec (day 2121, for 0 days); insulin degludec (day 2240, for 0 days); insulin aspart, human (day 2240, for 0 days); insulin degludec (day 2322, for 0 days); insulin aspart, human (day 2322, for 0 days); insulin aspart, human (day 2405, for 0 days); insulin degludec (day 2405, for 0 days); insulin degludec (day 2526, for 0 days); insulin aspart, human (day 2526, for 0 days); insulin degludec (day 2635, for 0 days); insulin aspart, human (day 2635, for 0 days); insulin degludec (day 2744, for 0 days); insulin aspart, human (day 2744, for 0 days); insulin degludec (day 2847, for 0 days); insulin aspart, human (day 2847, for 0 days); insulin degludec (day 2974, for 0 days); insulin aspart, human (day 2974, for 0 days); insulin degludec (day 3080, for 0 days); insulin aspart, human (day 3080, for 0 days); insulin degludec (day 3181, for 0 days); insulin aspart, human (day 3181, for 0 days); insulin aspart, human (day 3274, for 0 days); insulin degludec (day 3274, for 12 days); insulin aspart, human (day 3388, for 0 days); insulin aspart, human (day 3470, for 0 days); insulin degludec (day 3476, for 0 days); insulin degludec (day 3574, for 0 days); insulin aspart, human (day 3574, for 0 days); insulin aspart, human (day 3689, for 0 days); insulin degludec (day 3728, for 0 days); insulin aspart, human (day 3777, for 0 days); insulin degludec (day 3778, for 0 days);"/>
    <m/>
    <x v="0"/>
  </r>
  <r>
    <n v="244010017"/>
    <n v="17"/>
    <s v="Female"/>
    <s v="-2243 days - 4576 days"/>
    <s v="Office Visit"/>
    <s v="Type 1 diabetes mellitus (EHR); Vulva sore (EHR);"/>
    <m/>
    <m/>
    <m/>
    <m/>
    <m/>
    <m/>
    <m/>
    <m/>
    <s v="Diabetes mellitus (day 1714); Ketoacidotic coma due to type 1 diabetes mellitus (day 1909); Type 1 diabetes mellitus (day 104)"/>
    <m/>
    <s v="insulin, regular, human (day 6, for 408 days); insulin lispro (day 6, for 27 days); insulin lispro (day 163, for 27 days); insulin, regular, human (day 451, for 107 days); insulin lispro (day 485, for 27 days); insulin, regular, human (day 621, for 27 days); insulin, regular, human (day 697, for 27 days); insulin lispro (day 697, for 27 days); insulin aspart, human (day 733, for 27 days); insulin aspart, human (day 794, for 27 days); insulin aspart, human (day 893, for 27 days); insulin glargine (day 951, for 66 days); insulin glargine (day 1049, for 79 days); insulin aspart, human (day 1049, for 79 days); insulin aspart, human (day 1161, for 27 days); insulin glargine (day 1161, for 27 days); insulin glargine (day 1221, for 194 days); insulin aspart, human (day 1265, for 27 days); insulin aspart, human (day 1355, for 60 days); insulin glargine (day 1473, for 65 days); insulin aspart, human (day 1473, for 27 days); insulin glargine (day 1598, for 59 days); insulin aspart, human (day 1598, for 59 days); insulin aspart, human (day 1717, for 27 days); insulin glargine (day 1717, for 27 days); insulin glargine (day 1775, for 176 days); insulin aspart, human (day 1822, for 129 days); insulin glargine (day 1986, for 27 days); insulin aspart, human (day 1986, for 115 days); insulin glargine (day 2048, for 53 days); insulin aspart, human (day 2151, for 209 days); insulin glargine (day 2151, for 209 days); insulin aspart, human (day 2398, for 69 days); insulin glargine (day 2398, for 69 days); insulin aspart, human (day 2526, for 109 days); insulin glargine (day 2526, for 109 days); insulin aspart, human (day 2680, for 27 days); insulin glargine (day 2680, for 27 days); insulin aspart, human (day 2749, for 83 days); insulin glargine (day 2749, for 83 days); insulin aspart, human (day 2867, for 134 days); insulin glargine (day 2867, for 134 days); insulin aspart, human (day 3033, for 27 days); insulin glargine (day 3033, for 27 days); insulin glargine (day 3104, for 167 days); insulin aspart, human (day 3104, for 167 days); insulin glargine (day 3341, for 111 days); insulin aspart, human (day 3387, for 65 days); insulin glargine (day 3506, for 27 days); insulin aspart, human (day 3506, for 27 days); insulin aspart, human (day 3568, for 27 days); insulin glargine (day 3568, for 27 days); insulin glargine (day 3642, for 27 days); insulin aspart, human (day 3670, for 125 days); insulin glargine (day 3761, for 34 days); insulin glargine (day 3838, for 0 days); insulin aspart, human (day 3838, for 132 days); insulin glargine (day 3881, for 0 days); insulin glargine (day 3930, for 13 days); insulin aspart, human (day 4020, for 27 days); insulin glargine (day 4020, for 0 days); insulin aspart, human (day 4086, for 104 days); insulin glargine (day 4086, for 0 days); insulin glargine (day 4125, for 38 days); insulin glargine (day 4238, for 0 days); insulin aspart, human (day 4238, for 27 days); insulin aspart, human (day 4302, for 27 days); insulin glargine (day 4302, for 0 days); insulin aspart, human (day 4384, for 27 days); insulin glargine (day 4384, for 0 days); insulin aspart, human (day 4500, for 27 days); insulin glargine (day 4500, for 0 days);"/>
    <m/>
    <x v="0"/>
  </r>
  <r>
    <n v="319810053"/>
    <n v="13"/>
    <s v="Male"/>
    <s v="-1520 days - 2785 days"/>
    <s v="Office Visit"/>
    <s v="Type 1 diabetes mellitus (EHR);"/>
    <m/>
    <m/>
    <m/>
    <m/>
    <m/>
    <m/>
    <m/>
    <m/>
    <s v="Diabetes mellitus (day 314); Diabetic ketoacidosis (day 2134); Type 1 diabetes mellitus (day 1666)"/>
    <m/>
    <s v="insulin, regular, human (day 4, for 628 days); insulin, regular, human (day 665, for 583 days); insulin aspart, human (day 1159, for 61 days); insulin glargine (day 1159, for 61 days); insulin glargine (day 1284, for 27 days); insulin aspart, human (day 1306, for 27 days); insulin, regular, human (day 1306, for 27 days); insulin aspart, human (day 1368, for 27 days); insulin glargine (day 1368, for 70 days); insulin, regular, human (day 1411, for 27 days); insulin, regular, human (day 1474, for 27 days); insulin aspart, human (day 1474, for 27 days); insulin glargine (day 1508, for 27 days); insulin aspart, human (day 1533, for 27 days); insulin, regular, human (day 1533, for 27 days); insulin aspart, human (day 1609, for 68 days); insulin, regular, human (day 1609, for 27 days); insulin glargine (day 1609, for 68 days); insulin, regular, human (day 1711, for 86 days); insulin aspart, human (day 1732, for 65 days); insulin glargine (day 1770, for 111 days); insulin, regular, human (day 1895, for 27 days); insulin aspart, human (day 1895, for 27 days); insulin, regular, human (day 1971, for 27 days); insulin glargine (day 1971, for 27 days); insulin aspart, human (day 1971, for 63 days); insulin, regular, human (day 2036, for 61 days); insulin glargine (day 2070, for 92 days); insulin aspart, human (day 2070, for 27 days); insulin aspart, human (day 2135, for 27 days); insulin, regular, human (day 2135, for 27 days); insulin aspart, human (day 2218, for 62 days); insulin glargine (day 2218, for 27 days); insulin, regular, human (day 2218, for 235 days); insulin glargine (day 2334, for 119 days); insulin aspart, human (day 2334, for 119 days); insulin glargine (day 2502, for 27 days); insulin, regular, human (day 2502, for 106 days); insulin aspart, human (day 2502, for 106 days); insulin, regular, human (day 2643, for 127 days); insulin aspart, human (day 2684, for 27 days); insulin glargine (day 2719, for 51 days); insulin aspart, human (day 2743, for 27 days);"/>
    <m/>
    <x v="1"/>
  </r>
  <r>
    <n v="358110249"/>
    <n v="40"/>
    <s v="Male"/>
    <s v="-1590 days - 8662 days"/>
    <s v="Office Visit"/>
    <s v="Type 1 diabetes mellitus (EHR);"/>
    <m/>
    <m/>
    <s v="Herpes zoster ophthalmicus (day -1579, -1430)"/>
    <m/>
    <m/>
    <m/>
    <m/>
    <m/>
    <s v="Chronic kidney disease stage 3A (day 8503); Diabetes mellitus (day 189, 376, 980, 1019); Disorder of left macula due to diabetes mellitus (day 6093, 6179); Nonproliferative retinopathy of left eye due to diabetes mellitus (day 5170, 5725, 6093, 6179, 7117, 7504, 7889, 8277); Nonproliferative retinopathy of right eye due to diabetes mellitus (day 5170, 5372, 5725, 6093, 6179, 7117, 7504, 7889, 8277)"/>
    <s v="Conversion to insulin (day 1097)"/>
    <s v="metformin (day 980, for 27 days); insulin aspart, human (day 1105, for 27 days); insulin aspart, human (day 1194, for 27 days); insulin aspart, human (day 1257, for 27 days); insulin aspart, human (day 1323, for 27 days); insulin aspart, human (day 1384, for 225 days); insulin aspart, human (day 1656, for 0 days); insulin aspart, human (day 1699, for 0 days); insulin aspart, human (day 1735, for 0 days); insulin aspart, human (day 1768, for 0 days); insulin aspart, human (day 1803, for 0 days); insulin aspart, human (day 1847, for 0 days); insulin aspart, human (day 1881, for 0 days); insulin aspart, human (day 1929, for 0 days); insulin aspart, human (day 1965, for 0 days); insulin aspart, human (day 2013, for 29 days); insulin aspart, human (day 2091, for 30 days); insulin aspart, human (day 2161, for 20 days); insulin aspart, human (day 2217, for 0 days); insulin aspart, human (day 2259, for 0 days); insulin aspart, human (day 2296, for 0 days); insulin aspart, human (day 2330, for 0 days); insulin aspart, human (day 2363, for 0 days); insulin aspart, human (day 2406, for 0 days); insulin aspart, human (day 2442, for 55 days); insulin aspart, human (day 2540, for 7 days); insulin aspart, human (day 2582, for 0 days); insulin aspart, human (day 2624, for 0 days); insulin aspart, human (day 2664, for 0 days); insulin aspart, human (day 2706, for 14 days); insulin aspart, human (day 2765, for 0 days); insulin aspart, human (day 2799, for 0 days); insulin aspart, human (day 2833, for 23 days); insulin aspart, human (day 2897, for 0 days); insulin aspart, human (day 2931, for 76 days); insulin aspart, human (day 3051, for 0 days); insulin aspart, human (day 3084, for 24 days); insulin aspart, human (day 3140, for 100 days); insulin aspart, human (day 3288, for 0 days); insulin aspart, human (day 3321, for 29 days); insulin aspart, human (day 3386, for 0 days); insulin aspart, human (day 3419, for 42 days); insulin aspart, human (day 3511, for 24 days); insulin aspart, human (day 3567, for 16 days); insulin aspart, human (day 3615, for 29 days); insulin aspart, human (day 3680, for 0 days); insulin aspart, human (day 3723, for 27 days); insulin aspart, human (day 3791, for 28 days); insulin aspart, human (day 3855, for 0 days); insulin aspart, human (day 3889, for 30 days); insulin aspart, human (day 3982, for 19 days); insulin aspart, human (day 4046, for 0 days); insulin aspart, human (day 4080, for 0 days); insulin aspart, human (day 4114, for 27 days); insulin aspart, human (day 4185, for 27 days); insulin aspart, human (day 4256, for 0 days); insulin aspart, human (day 4291, for 48 days); insulin aspart, human (day 4375, for 0 days); insulin aspart, human (day 4409, for 0 days); insulin aspart, human (day 4450, for 0 days); insulin aspart, human (day 4494, for 26 days); insulin aspart, human (day 4553, for 0 days); insulin aspart, human (day 4590, for 0 days); insulin aspart, human (day 4624, for 83 days); insulin aspart, human (day 4750, for 27 days); insulin aspart, human (day 4812, for 0 days); insulin aspart, human (day 4843, for 0 days); insulin aspart, human (day 4884, for 12 days); insulin aspart, human (day 4938, for 0 days); insulin aspart, human (day 4969, for 75 days); insulin aspart, human (day 5079, for 0 days); insulin aspart, human (day 5113, for 0 days); insulin aspart, human (day 5148, for 53 days); insulin aspart, human (day 5241, for 0 days); insulin aspart, human (day 5276, for 58 days); insulin aspart, human (day 5368, for 21 days); insulin aspart, human (day 5449, for 29 days); insulin aspart, human (day 5516, for 0 days); insulin aspart, human (day 5548, for 58 days); insulin aspart, human (day 5647, for 0 days); insulin aspart, human (day 5682, for 57 days); insulin aspart, human (day 5778, for 0 days); insulin aspart, human (day 5815, for 0 days); insulin aspart, human (day 5864, for 0 days); insulin aspart, human (day 5904, for 0 days); insulin aspart, human (day 5940, for 0 days); insulin aspart, human (day 5976, for 0 days); insulin aspart, human (day 6016, for 0 days); insulin aspart, human (day 6052, for 0 days); insulin aspart, human (day 6087, for 0 days); insulin aspart, human (day 6121, for 0 days); insulin aspart, human (day 6165, for 47 days); insulin aspart, human (day 6268, for 0 days); insulin aspart, human (day 6307, for 24 days); insulin aspart, human (day 6382, for 0 days); insulin aspart, human (day 6417, for 28 days); insulin aspart, human (day 6480, for 26 days); insulin aspart, human (day 6548, for 29 days); insulin aspart, human (day 6613, for 0 days); insulin aspart, human (day 6648, for 55 days); insulin aspart, human (day 6739, for 0 days); insulin aspart, human (day 6779, for 0 days); insulin aspart, human (day 6815, for 55 days); insulin aspart, human (day 6905, for 0 days); insulin aspart, human (day 6944, for 0 days); insulin aspart, human (day 6975, for 56 days); insulin aspart, human (day 7066, for 0 days); insulin aspart, human (day 7102, for 139 days); insulin aspart, human (day 7290, for 225 days); insulin aspart, human (day 7571, for 29 days); insulin aspart, human (day 7648, for 156 days); insulin aspart, human (day 7846, for 77 days); insulin aspart, human (day 7983, for 112 days); insulin aspart, human (day 8148, for 0 days); insulin aspart, human (day 8180, for 0 days); insulin aspart, human (day 8214, for 0 days); insulin aspart, human (day 8264, for 52 days); insulin aspart, human (day 8350, for 29 days); insulin aspart, human (day 8410, for 29 days); insulin aspart, human (day 8473, for 44 days); insulin aspart, human (day 8571, for 0 days); insulin aspart, human (day 8606, for 56 days);"/>
    <m/>
    <x v="1"/>
  </r>
  <r>
    <n v="401410971"/>
    <n v="19"/>
    <s v="Female"/>
    <s v="-807 days - 2793 days"/>
    <s v="Office Visit"/>
    <s v="Type 1 diabetes mellitus (EHR);"/>
    <m/>
    <m/>
    <m/>
    <m/>
    <m/>
    <m/>
    <m/>
    <m/>
    <m/>
    <m/>
    <s v="insulin aspart, human (day 35, for 27 days); insulin aspart, human (day 103, for 27 days); insulin aspart, human (day 264, for 78 days); insulin aspart, human (day 414, for 27 days); insulin aspart, human (day 945, for 64 days); insulin aspart, human (day 1041, for 27 days); insulin aspart, human (day 1307, for 72 days); insulin, regular, human (day 1618, for 1 days); insulin, regular, human (day 1664, for 1 days); insulin, regular, human (day 1751, for 1 days); insulin aspart, human (day 1751, for 27 days); insulin, regular, human (day 1799, for 1 days); insulin aspart, human (day 1923, for 27 days); insulin aspart, human (day 2024, for 27 days); insulin, regular, human (day 2024, for 1 days); insulin, regular, human (day 2087, for 1 days); insulin glulisine, human (day 2227, for 6 days); insulin glulisine, human (day 2375, for 6 days); insulin aspart, human (day 2476, for 161 days); insulin, regular, human (day 2498, for 1 days); insulin aspart, human (day 2683, for 110 days); insulin glargine (day 2785, for 0 days);"/>
    <m/>
    <x v="0"/>
  </r>
  <r>
    <n v="461910966"/>
    <n v="31"/>
    <s v="Male"/>
    <s v="-10893 days - 2316 days"/>
    <s v="Office Visit"/>
    <s v="Type 1 diabetes mellitus (EHR);"/>
    <m/>
    <m/>
    <s v="Herpes zoster (day -6191)"/>
    <m/>
    <m/>
    <m/>
    <m/>
    <m/>
    <m/>
    <m/>
    <s v="insulin lispro (day 0, for 0 days); insulin aspart, human (day 52, for 28 days); insulin degludec (day 52, for 28 days); insulin degludec (day 111, for 0 days); insulin aspart, human (day 111, for 0 days); insulin aspart, human (day 181, for 0 days); insulin aspart, human (day 226, for 113 days); insulin degludec (day 226, for 57 days); insulin degludec (day 339, for 0 days); insulin aspart, human (day 409, for 0 days); insulin aspart, human (day 475, for 0 days); insulin degludec (day 517, for 30 days); insulin aspart, human (day 517, for 30 days); insulin aspart, human (day 722, for 0 days); insulin aspart, human (day 778, for 0 days); insulin aspart, human (day 918, for 0 days); insulin aspart, human (day 972, for 0 days); insulin aspart, human (day 1084, for 0 days); insulin degludec (day 1112, for 0 days); insulin degludec (day 1196, for 0 days); insulin aspart, human (day 1196, for 0 days); insulin aspart, human (day 1248, for 0 days); insulin aspart, human (day 1304, for 0 days); insulin degludec (day 1304, for 0 days); insulin degludec (day 1360, for 28 days); insulin aspart, human (day 1360, for 28 days); insulin aspart, human (day 1444, for 0 days); insulin degludec (day 1444, for 0 days); insulin aspart, human (day 1597, for 281 days); insulin degludec (day 1597, for 281 days); insulin aspart, human (day 1931, for 28 days); insulin degludec (day 1931, for 56 days); insulin aspart, human (day 2015, for 80 days); insulin degludec (day 2043, for 52 days); insulin degludec (day 2164, for 58 days); insulin aspart, human (day 2169, for 25 days); insulin aspart, human (day 2247, for 56 days); insulin degludec (day 2274, for 29 days);"/>
    <m/>
    <x v="0"/>
  </r>
  <r>
    <n v="476910620"/>
    <n v="72"/>
    <s v="Female"/>
    <s v="-741 days - 720 days"/>
    <s v="Office Visit"/>
    <s v="Type 1 diabetes mellitus (EHR);"/>
    <m/>
    <m/>
    <m/>
    <s v="insulin, regular, human (day -714, for 304 days); insulin, regular, human (day -374, for 315 days); insulin, regular, human (day -8, for 266 days);"/>
    <m/>
    <m/>
    <m/>
    <m/>
    <s v="Disorder of kidney due to diabetes mellitus (day 252)"/>
    <m/>
    <s v="insulin, regular, human (day 342, for 83 days); insulin, regular, human (day 517, for 27 days); insulin, regular, human (day 608, for 27 days);"/>
    <m/>
    <x v="0"/>
  </r>
  <r>
    <n v="553410900"/>
    <n v="19"/>
    <s v="Male"/>
    <s v="-7096 days - 458 days"/>
    <s v="Office Visit"/>
    <s v="Type 1 diabetes mellitus (EHR);"/>
    <m/>
    <m/>
    <m/>
    <m/>
    <m/>
    <m/>
    <m/>
    <m/>
    <m/>
    <m/>
    <s v="insulin aspart, human (day 5, for 19 days); insulin aspart, human (day 79, for 0 days); insulin aspart, human (day 202, for 0 days); insulin aspart, human (day 240, for 0 days); insulin aspart, human (day 311, for 30 days); insulin aspart, human (day 446, for 0 days);"/>
    <m/>
    <x v="0"/>
  </r>
  <r>
    <n v="679310873"/>
    <n v="13"/>
    <s v="Male"/>
    <s v="-2781 days - 5542 days"/>
    <s v="Office Visit"/>
    <s v="Type 1 diabetes mellitus (EHR);"/>
    <m/>
    <m/>
    <m/>
    <m/>
    <m/>
    <m/>
    <m/>
    <m/>
    <s v="Diabetic ketoacidosis (day 682, 3147); Nonproliferative retinopathy of left eye due to diabetes mellitus (day 4444); Nonproliferative retinopathy of right eye due to diabetes mellitus (day 1603, 4822, 5216)"/>
    <m/>
    <s v="insulin glargine (day 0, for 390 days); insulin aspart, human (day 0, for 390 days); insulin glargine (day 432, for 27 days); insulin aspart, human (day 432, for 27 days); insulin glargine (day 496, for 27 days); insulin aspart, human (day 496, for 236 days); insulin glargine (day 596, for 136 days); insulin glargine (day 784, for 0 days); insulin aspart, human (day 784, for 287 days); insulin glargine (day 826, for 0 days); insulin glargine (day 882, for 0 days); insulin glargine (day 926, for 0 days); insulin glargine (day 960, for 0 days); insulin glargine (day 993, for 51 days); insulin glargine (day 1112, for 0 days); insulin aspart, human (day 1112, for 27 days); insulin glargine (day 1174, for 0 days); insulin aspart, human (day 1174, for 125 days); insulin glargine (day 1223, for 0 days); insulin glargine (day 1272, for 0 days); insulin glargine (day 1426, for 0 days); insulin aspart, human (day 1426, for 84 days); insulin glargine (day 1483, for 0 days); insulin aspart, human (day 1542, for 27 days); insulin glargine (day 1542, for 0 days); insulin glargine (day 1609, for 0 days); insulin aspart, human (day 1609, for 211 days); insulin glargine (day 1665, for 0 days); insulin glargine (day 1708, for 0 days); insulin glargine (day 1749, for 0 days); insulin glargine (day 1793, for 0 days); insulin glargine (day 1878, for 0 days); insulin aspart, human (day 1878, for 27 days); insulin glargine (day 1972, for 0 days); insulin aspart, human (day 2003, for 27 days); insulin glargine (day 2003, for 0 days); insulin glargine (day 2147, for 0 days); insulin aspart, human (day 2147, for 84 days); insulin glargine (day 2204, for 0 days); insulin glargine (day 2266, for 0 days); insulin aspart, human (day 2266, for 181 days); insulin glargine (day 2323, for 0 days); insulin glargine (day 2365, for 0 days); insulin glargine (day 2420, for 0 days); insulin aspart, human (day 2484, for 27 days); insulin glargine (day 2484, for 0 days); insulin glargine (day 2548, for 0 days); insulin aspart, human (day 2548, for 165 days); insulin glargine (day 2603, for 0 days); insulin glargine (day 2653, for 0 days); insulin glargine (day 2686, for 0 days); insulin glargine (day 2750, for 0 days); insulin aspart, human (day 2750, for 258 days); insulin glargine (day 2807, for 0 days); insulin glargine (day 2856, for 0 days); insulin glargine (day 2890, for 0 days); insulin glargine (day 2940, for 0 days); insulin glargine (day 2981, for 0 days); insulin glargine (day 3051, for 0 days); insulin aspart, human (day 3051, for 83 days); insulin glargine (day 3107, for 0 days); insulin glargine (day 3169, for 0 days); insulin aspart, human (day 3169, for 84 days); insulin glargine (day 3226, for 0 days); insulin degludec (day 3305, for 26 days); insulin aspart, human (day 3331, for 27 days); insulin degludec (day 3382, for 0 days); insulin degludec (day 3438, for 0 days); insulin aspart, human (day 3438, for 73 days); insulin degludec (day 3484, for 0 days); insulin degludec (day 3527, for 0 days); insulin degludec (day 3583, for 49 days); insulin aspart, human (day 3583, for 124 days); insulin degludec (day 3680, for 0 days); insulin aspart, human (day 3778, for 76 days); insulin degludec (day 3778, for 49 days); insulin aspart, human (day 3934, for 119 days); insulin degludec (day 3934, for 0 days); insulin degludec (day 3991, for 35 days); insulin degludec (day 4088, for 28 days); insulin aspart, human (day 4088, for 111 days); insulin degludec (day 4172, for 0 days); insulin degludec (day 4235, for 0 days); insulin aspart, human (day 4235, for 27 days); insulin degludec (day 4296, for 0 days); insulin aspart, human (day 4296, for 83 days); insulin degludec (day 4352, for 29 days); insulin degludec (day 4612, for 0 days); insulin aspart, human (day 4612, for 27 days); insulin aspart, human (day 4670, for 27 days); insulin degludec (day 4670, for 0 days); insulin aspart, human (day 4746, for 71 days); insulin degludec (day 4746, for 0 days); insulin degludec (day 4781, for 36 days); insulin degludec (day 4864, for 100 days); insulin aspart, human (day 4864, for 100 days); insulin degludec (day 4998, for 118 days); insulin aspart, human (day 4998, for 118 days); insulin degludec (day 5153, for 0 days); insulin aspart, human (day 5153, for 0 days); insulin degludec (day 5189, for 48 days); insulin aspart, human (day 5189, for 48 days); insulin aspart, human (day 5277, for 59 days); insulin degludec (day 5277, for 59 days); insulin aspart, human (day 5369, for 156 days); insulin degludec (day 5369, for 156 days);"/>
    <m/>
    <x v="1"/>
  </r>
  <r>
    <n v="726310128"/>
    <n v="17"/>
    <s v="Female"/>
    <s v="-2750 days - 3041 days"/>
    <s v="Office Visit"/>
    <s v="Type 1 diabetes mellitus (EHR);"/>
    <m/>
    <m/>
    <m/>
    <m/>
    <m/>
    <m/>
    <m/>
    <m/>
    <s v="Diabetes mellitus (day 2534)"/>
    <m/>
    <s v="insulin aspart, human (day 7, for 0 days); insulin aspart, human (day 41, for 0 days); insulin aspart, human (day 154, for 22 days); insulin aspart, human (day 316, for 0 days); insulin aspart, human (day 479, for 0 days); insulin aspart, human (day 800, for 0 days); insulin aspart, human (day 846, for 0 days); insulin aspart, human (day 1123, for 0 days); insulin aspart, human (day 1178, for 0 days); insulin aspart, human (day 1508, for 0 days); insulin aspart, human (day 1576, for 0 days); insulin aspart, human (day 1646, for 0 days); insulin aspart, human (day 1704, for 0 days); insulin aspart, human (day 1759, for 0 days); insulin aspart, human (day 1826, for 0 days); insulin aspart, human (day 1884, for 0 days); insulin aspart, human (day 1940, for 0 days); insulin aspart, human (day 1989, for 0 days); insulin aspart, human (day 2037, for 0 days); insulin aspart, human (day 2073, for 0 days); insulin aspart, human (day 2192, for 0 days); insulin aspart, human (day 2226, for 0 days); insulin aspart, human (day 2276, for 26 days); insulin aspart, human (day 2387, for 0 days); insulin aspart, human (day 2534, for 22 days); insulin aspart, human (day 2589, for 0 days); insulin aspart, human (day 2661, for 0 days); insulin aspart, human (day 2701, for 0 days); insulin degludec (day 2703, for 0 days); insulin degludec (day 2740, for 0 days); insulin degludec (day 2778, for 0 days); insulin aspart, human (day 2778, for 0 days); insulin degludec (day 2810, for 0 days); insulin aspart, human (day 2810, for 0 days); insulin degludec (day 2856, for 0 days); insulin aspart, human (day 2856, for 0 days); insulin aspart, human (day 2907, for 0 days); insulin degludec (day 2907, for 0 days); insulin aspart, human (day 2963, for 0 days); insulin degludec (day 2963, for 0 days); insulin aspart, human (day 2996, for 0 days); insulin degludec (day 2996, for 0 days);"/>
    <m/>
    <x v="0"/>
  </r>
  <r>
    <n v="740710960"/>
    <n v="12"/>
    <s v="Female"/>
    <s v="-4109 days - 3892 days"/>
    <s v="Office Visit"/>
    <s v="Type 1 diabetes mellitus (EHR);"/>
    <m/>
    <m/>
    <m/>
    <m/>
    <m/>
    <m/>
    <m/>
    <m/>
    <s v="Nonproliferative retinopathy of left eye due to diabetes mellitus (day 1909, 2798, 3771)"/>
    <m/>
    <s v="insulin aspart, human (day 7, for 27 days); insulin glargine (day 64, for 0 days); insulin aspart, human (day 75, for 27 days); insulin glargine (day 103, for 0 days); insulin aspart, human (day 135, for 548 days); insulin glargine (day 467, for 0 days); insulin aspart, human (day 730, for 1375 days); insulin glargine (day 778, for 0 days); insulin glargine (day 881, for 0 days); insulin glargine (day 1153, for 0 days); insulin glargine (day 1289, for 0 days); insulin glargine (day 1514, for 0 days); insulin glargine (day 1881, for 0 days); insulin aspart, human (day 2140, for 80 days); insulin glargine (day 2168, for 0 days); insulin glargine (day 2228, for 0 days); insulin aspart, human (day 2267, for 232 days); insulin aspart, human (day 2561, for 503 days); insulin glargine (day 3050, for 0 days); insulin aspart, human (day 3116, for 99 days); insulin aspart, human (day 3254, for 3 days); insulin aspart, human (day 3305, for 3 days); insulin aspart, human (day 3346, for 3 days); insulin aspart, human (day 3387, for 0 days); insulin aspart, human (day 3424, for 42 days); insulin aspart, human (day 3506, for 18 days); insulin aspart, human (day 3568, for 3 days); insulin aspart, human (day 3611, for 3 days); insulin aspart, human (day 3667, for 39 days); insulin aspart, human (day 3737, for 104 days);"/>
    <m/>
    <x v="1"/>
  </r>
  <r>
    <n v="758210667"/>
    <n v="7"/>
    <s v="Male"/>
    <s v="-2681 days - 483 days"/>
    <s v="Office Visit"/>
    <s v="Type 1 diabetes mellitus (EHR);"/>
    <m/>
    <m/>
    <m/>
    <m/>
    <m/>
    <m/>
    <m/>
    <m/>
    <m/>
    <m/>
    <s v="insulin aspart, human (day 3, for 37 days); insulin aspart, human (day 258, for 27 days); insulin aspart, human (day 344, for 151 days);"/>
    <m/>
    <x v="0"/>
  </r>
  <r>
    <n v="772810288"/>
    <n v="15"/>
    <s v="Male"/>
    <s v="-5181 days - 2942 days"/>
    <s v="Office Visit"/>
    <s v="Type 1 diabetes mellitus (EHR);"/>
    <m/>
    <m/>
    <m/>
    <m/>
    <m/>
    <m/>
    <m/>
    <m/>
    <m/>
    <m/>
    <s v="insulin glargine (day 0, for 0 days); insulin aspart, human (day 0, for 0 days); insulin glargine (day 45, for 0 days); insulin aspart, human (day 45, for 0 days); insulin aspart, human (day 356, for 0 days); insulin aspart, human (day 389, for 0 days); insulin aspart, human (day 430, for 28 days); insulin glargine (day 473, for 0 days); insulin aspart, human (day 502, for 0 days); insulin glargine (day 535, for 0 days); insulin aspart, human (day 535, for 84 days); insulin glargine (day 619, for 0 days); insulin aspart, human (day 658, for 55 days); insulin glargine (day 662, for 0 days); insulin glargine (day 713, for 0 days); insulin aspart, human (day 753, for 0 days); insulin glargine (day 774, for 0 days); insulin aspart, human (day 788, for 78 days); insulin glargine (day 836, for 30 days); insulin glargine (day 903, for 0 days); insulin aspart, human (day 903, for 0 days); insulin aspart, human (day 934, for 67 days); insulin glargine (day 959, for 0 days); insulin glargine (day 998, for 0 days); insulin aspart, human (day 1035, for 0 days); insulin glargine (day 1043, for 0 days); insulin glargine (day 1095, for 0 days); insulin aspart, human (day 1095, for 0 days); insulin aspart, human (day 1127, for 77 days); insulin glargine (day 1148, for 21 days); insulin glargine (day 1235, for 39 days); insulin aspart, human (day 1235, for 63 days); insulin glargine (day 1312, for 66 days); insulin aspart, human (day 1333, for 67 days); insulin aspart, human (day 1431, for 105 days); insulin glargine (day 1431, for 105 days); insulin aspart, human (day 1571, for 35 days); insulin glargine (day 1571, for 35 days); insulin glargine (day 1659, for 0 days); insulin aspart, human (day 1659, for 0 days); insulin aspart, human (day 1697, for 42 days); insulin glargine (day 1697, for 42 days); insulin glargine (day 1782, for 17 days); insulin aspart, human (day 1782, for 17 days); insulin aspart, human (day 1866, for 0 days); insulin glargine (day 1866, for 0 days); insulin glargine (day 1928, for 80 days); insulin aspart, human (day 1928, for 80 days); insulin aspart, human (day 2056, for 20 days); insulin glargine (day 2056, for 20 days); insulin aspart, human (day 2120, for 0 days); insulin glargine (day 2120, for 0 days); insulin aspart, human (day 2183, for 0 days); insulin glargine (day 2183, for 0 days); insulin glargine (day 2264, for 21 days); insulin aspart, human (day 2264, for 21 days); insulin aspart, human (day 2317, for 0 days); insulin glargine (day 2317, for 0 days); insulin glargine (day 2593, for 0 days); insulin aspart, human (day 2593, for 0 days); insulin glargine (day 2667, for 0 days); insulin aspart, human (day 2667, for 0 days); insulin aspart, human (day 2770, for 0 days); insulin aspart, human (day 2806, for 0 days);"/>
    <m/>
    <x v="0"/>
  </r>
  <r>
    <n v="795410971"/>
    <n v="2"/>
    <s v="Female"/>
    <s v="-721 days - 3490 days"/>
    <s v="Office Visit"/>
    <s v="Type 1 diabetes mellitus (EHR);"/>
    <m/>
    <m/>
    <m/>
    <m/>
    <m/>
    <m/>
    <m/>
    <m/>
    <m/>
    <m/>
    <m/>
    <m/>
    <x v="2"/>
  </r>
  <r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aspart, human (day 83, for 27 days); insulin aspart, human (day 173, for 27 days); insulin, regular, human (day 246, for 2 days); insulin aspart, human (day 361, for 0 days); insulin aspart, human (day 445, for 0 days); insulin aspart, human (day 481, for 0 days); insulin aspart, human (day 552, for 27 days); insulin aspart, human (day 624, for 27 days); insulin aspart, human (day 713, for 0 days); insulin aspart, human (day 795, for 97 days); insulin aspart, human (day 931, for 75 days); insulin aspart, human (day 1055, for 76 days); insulin aspart, human (day 1182, for 278 days); insulin aspart, human (day 1496, for 229 days); insulin aspart, human (day 1768, for 65 days);"/>
    <m/>
    <x v="0"/>
  </r>
  <r>
    <n v="831210567"/>
    <n v="40"/>
    <s v="Male"/>
    <s v="-373 days - 6403 days"/>
    <s v="Office Visit"/>
    <s v="Type 1 diabetes mellitus (EHR);"/>
    <m/>
    <m/>
    <m/>
    <m/>
    <m/>
    <m/>
    <m/>
    <m/>
    <s v="Diabetes mellitus (day 4032); Persistent proteinuria due to type 1 diabetes mellitus (day 2844); Type 1 diabetes mellitus (day 2102)"/>
    <m/>
    <s v="insulin, regular, human (day 1076, for 31 days); insulin, regular, human (day 1174, for 27 days); insulin, regular, human (day 1286, for 27 days); insulin, regular, human (day 1364, for 27 days); insulin, regular, human (day 1463, for 27 days); insulin, regular, human (day 1538, for 76 days); insulin, regular, human (day 1692, for 27 days); insulin, regular, human (day 1804, for 27 days); insulin, regular, human (day 1910, for 27 days); insulin, regular, human (day 1997, for 27 days); insulin, regular, human (day 2101, for 27 days); insulin, regular, human (day 2191, for 27 days); insulin, regular, human (day 2252, for 27 days); insulin, regular, human (day 2346, for 27 days); insulin, regular, human (day 2416, for 27 days); insulin aspart, human (day 2427, for 79 days); insulin aspart, human (day 2547, for 27 days); insulin aspart, human (day 2616, for 27 days); insulin aspart, human (day 2679, for 76 days); insulin aspart, human (day 2799, for 27 days); insulin aspart, human (day 2868, for 27 days); insulin aspart, human (day 2926, for 27 days); insulin aspart, human (day 2991, for 27 days); insulin aspart, human (day 3054, for 27 days); insulin aspart, human (day 3114, for 78 days); insulin aspart, human (day 3290, for 83 days); insulin aspart, human (day 3411, for 79 days); insulin aspart, human (day 3530, for 27 days); insulin aspart, human (day 3596, for 27 days); insulin aspart, human (day 3654, for 27 days); insulin aspart, human (day 3719, for 27 days); insulin aspart, human (day 3778, for 27 days); insulin aspart, human (day 3837, for 27 days); insulin aspart, human (day 3906, for 27 days); insulin aspart, human (day 3968, for 27 days); insulin aspart, human (day 4030, for 84 days); insulin aspart, human (day 4149, for 27 days); insulin aspart, human (day 4208, for 27 days); insulin aspart, human (day 4268, for 127 days); insulin aspart, human (day 4437, for 27 days); insulin aspart, human (day 4555, for 27 days); insulin aspart, human (day 4622, for 27 days); insulin aspart, human (day 4689, for 27 days); insulin aspart, human (day 4760, for 27 days); insulin aspart, human (day 4842, for 27 days); insulin aspart, human (day 4907, for 27 days); insulin aspart, human (day 4977, for 27 days); insulin aspart, human (day 5063, for 27 days); insulin aspart, human (day 5143, for 27 days); insulin aspart, human (day 5213, for 27 days); insulin aspart, human (day 5279, for 27 days); insulin aspart, human (day 5361, for 27 days); insulin aspart, human (day 5434, for 27 days); insulin aspart, human (day 5494, for 27 days); insulin aspart, human (day 5585, for 27 days); insulin aspart, human (day 5683, for 27 days); insulin aspart, human (day 5741, for 84 days); insulin aspart, human (day 5892, for 27 days); insulin aspart, human (day 5971, for 83 days); insulin aspart, human (day 6109, for 27 days); insulin aspart, human (day 6189, for 82 days); insulin aspart, human (day 6314, for 83 days);"/>
    <m/>
    <x v="1"/>
  </r>
  <r>
    <n v="878310732"/>
    <n v="31"/>
    <s v="Female"/>
    <s v="-862 days - 447 days"/>
    <s v="Office Visit"/>
    <s v="Type 1 diabetes mellitus (EHR);"/>
    <m/>
    <m/>
    <m/>
    <m/>
    <m/>
    <m/>
    <m/>
    <m/>
    <m/>
    <m/>
    <m/>
    <m/>
    <x v="2"/>
  </r>
  <r>
    <n v="880910162"/>
    <n v="28"/>
    <s v="Male"/>
    <s v="-3867 days - 3532 days"/>
    <s v="Office Visit"/>
    <s v="Type 1 diabetes mellitus (EHR);"/>
    <m/>
    <m/>
    <m/>
    <m/>
    <m/>
    <m/>
    <m/>
    <m/>
    <m/>
    <m/>
    <s v="insulin aspart, human (day 18, for 0 days); insulin glargine (day 18, for 27 days); insulin glargine (day 101, for 61 days); insulin aspart, human (day 101, for 0 days); insulin aspart, human (day 135, for 0 days); insulin glargine (day 226, for 27 days); insulin glargine (day 291, for 27 days); insulin aspart, human (day 291, for 0 days); insulin aspart, human (day 443, for 0 days); insulin glargine (day 472, for 27 days); insulin aspart, human (day 603, for 0 days); insulin glargine (day 632, for 27 days); insulin glargine (day 735, for 27 days); insulin aspart, human (day 735, for 0 days); insulin aspart, human (day 822, for 0 days); insulin glargine (day 822, for 27 days); insulin glargine (day 925, for 27 days); insulin aspart, human (day 925, for 0 days); insulin aspart, human (day 1017, for 0 days); insulin glargine (day 1017, for 27 days); insulin aspart, human (day 1100, for 0 days); insulin glargine (day 1100, for 27 days); insulin glargine (day 1173, for 27 days); insulin aspart, human (day 1173, for 0 days); insulin aspart, human (day 1246, for 18 days); insulin glargine (day 1246, for 45 days); insulin aspart, human (day 1402, for 0 days); insulin glargine (day 1402, for 27 days); insulin glargine (day 1473, for 27 days); insulin aspart, human (day 1473, for 0 days); insulin aspart, human (day 1537, for 0 days); insulin glargine (day 1556, for 127 days); insulin aspart, human (day 1584, for 0 days); insulin aspart, human (day 1656, for 0 days); insulin aspart, human (day 1753, for 0 days); insulin glargine (day 1753, for 27 days); insulin glargine (day 1821, for 0 days); insulin aspart, human (day 1821, for 0 days); insulin glargine (day 1884, for 0 days); insulin aspart, human (day 1928, for 0 days); insulin glargine (day 1963, for 0 days); insulin aspart, human (day 2003, for 0 days); insulin aspart, human (day 2083, for 0 days); insulin glargine (day 2102, for 14 days); insulin aspart, human (day 2171, for 0 days); insulin glargine (day 2247, for 0 days); insulin aspart, human (day 2256, for 0 days); insulin aspart, human (day 2306, for 0 days); insulin glargine (day 2327, for 0 days); insulin aspart, human (day 2390, for 0 days); insulin glargine (day 2390, for 0 days); insulin glargine (day 2464, for 0 days); insulin aspart, human (day 2528, for 0 days); insulin glargine (day 2528, for 0 days); insulin aspart, human (day 2601, for 0 days); insulin glargine (day 2601, for 0 days); insulin glargine (day 2643, for 0 days); insulin aspart, human (day 2643, for 0 days); insulin glargine (day 2733, for 0 days); insulin aspart, human (day 2758, for 0 days); insulin glargine (day 2804, for 0 days); insulin aspart, human (day 2829, for 0 days); insulin glargine (day 2859, for 0 days); insulin aspart, human (day 2886, for 0 days); insulin aspart, human (day 2941, for 0 days); insulin glargine (day 2941, for 0 days); insulin aspart, human (day 3006, for 0 days); insulin glargine (day 3006, for 0 days); insulin glargine (day 3067, for 0 days); insulin aspart, human (day 3090, for 0 days); insulin glargine (day 3144, for 0 days); insulin aspart, human (day 3159, for 0 days); insulin aspart, human (day 3208, for 0 days); insulin glargine (day 3208, for 0 days); insulin glargine (day 3283, for 0 days); insulin aspart, human (day 3306, for 0 days); insulin glargine (day 3347, for 0 days); insulin aspart, human (day 3377, for 0 days); insulin glargine (day 3424, for 0 days); insulin aspart, human (day 3444, for 0 days); insulin glargine (day 3483, for 0 days); insulin aspart, human (day 3515, for 0 days);"/>
    <m/>
    <x v="0"/>
  </r>
  <r>
    <n v="888710791"/>
    <n v="12"/>
    <s v="Female"/>
    <s v="-4300 days - 2667 days"/>
    <s v="Office Visit"/>
    <s v="Type 1 diabetes mellitus (EHR);"/>
    <m/>
    <m/>
    <m/>
    <m/>
    <m/>
    <m/>
    <m/>
    <m/>
    <m/>
    <m/>
    <s v="insulin aspart, human (day 2, for 27 days); insulin aspart, human (day 61, for 815 days); insulin aspart, human (day 929, for 1742 days);"/>
    <m/>
    <x v="0"/>
  </r>
  <r>
    <n v="932610840"/>
    <n v="13"/>
    <s v="Female"/>
    <s v="-2926 days - 3431 days"/>
    <s v="Office Visit"/>
    <s v="Type 1 diabetes mellitus (EHR);"/>
    <s v="Autoimmune hepatitis (day -61)"/>
    <m/>
    <s v="Steroid-induced diabetes (day -64)"/>
    <m/>
    <m/>
    <m/>
    <m/>
    <m/>
    <m/>
    <m/>
    <s v="insulin aspart, human (day 0, for 27 days);"/>
    <m/>
    <x v="2"/>
  </r>
  <r>
    <n v="954410764"/>
    <n v="19"/>
    <s v="Female"/>
    <s v="-3400 days - 4459 days"/>
    <s v="Office Visit"/>
    <s v="Type 1 diabetes mellitus (EHR);"/>
    <m/>
    <m/>
    <m/>
    <m/>
    <m/>
    <m/>
    <m/>
    <m/>
    <m/>
    <m/>
    <s v="insulin aspart, human (day 0, for 37 days); insulin aspart, human (day 70, for 14 days); insulin aspart, human (day 128, for 21 days); insulin aspart, human (day 181, for 0 days); insulin aspart, human (day 213, for 0 days); insulin aspart, human (day 269, for 0 days); insulin aspart, human (day 321, for 0 days); insulin aspart, human (day 359, for 15 days); insulin aspart, human (day 666, for 0 days); insulin aspart, human (day 700, for 0 days); insulin aspart, human (day 860, for 0 days); insulin aspart, human (day 969, for 28 days); insulin aspart, human (day 1154, for 29 days); insulin aspart, human (day 1505, for 29 days); insulin aspart, human (day 1711, for 29 days); insulin aspart, human (day 1948, for 29 days); insulin aspart, human (day 2142, for 29 days); insulin aspart, human (day 2354, for 29 days); insulin aspart, human (day 2597, for 29 days); insulin glargine (day 2676, for 47 days); insulin glargine (day 2794, for 0 days); insulin glargine (day 2841, for 23 days); insulin aspart, human (day 2841, for 29 days); insulin glargine (day 2898, for 49 days); insulin glargine (day 2998, for 0 days); insulin aspart, human (day 2998, for 29 days); insulin aspart, human (day 3069, for 29 days); insulin glargine (day 3069, for 0 days); insulin glargine (day 3142, for 30 days); insulin glargine (day 3205, for 0 days); insulin glargine (day 3237, for 20 days); insulin glargine (day 3292, for 0 days); insulin glargine (day 3332, for 2 days); insulin glargine (day 3373, for 2 days); insulin aspart, human (day 3373, for 29 days); insulin glargine (day 3447, for 2 days); insulin glargine (day 3500, for 2 days); insulin glargine (day 3549, for 2 days); insulin aspart, human (day 3550, for 29 days); insulin glargine (day 3625, for 2 days); insulin glargine (day 3705, for 2 days); insulin glargine (day 3767, for 2 days); insulin glargine (day 3807, for 31 days); insulin aspart, human (day 3844, for 89 days); insulin glargine (day 3870, for 4 days); insulin aspart, human (day 4020, for 3 days); insulin aspart, human (day 4055, for 3 days); insulin aspart, human (day 4130, for 3 days); insulin aspart, human (day 4202, for 3 days); insulin aspart, human (day 4249, for 3 days); insulin aspart, human (day 4284, for 3 days); insulin aspart, human (day 4321, for 3 days); insulin aspart, human (day 4392, for 3 days);"/>
    <m/>
    <x v="0"/>
  </r>
  <r>
    <n v="959010761"/>
    <n v="9"/>
    <s v="Female"/>
    <s v="-3233 days - 5447 days"/>
    <s v="Office Visit"/>
    <s v="Type 1 diabetes mellitus (EHR);"/>
    <m/>
    <m/>
    <m/>
    <m/>
    <m/>
    <m/>
    <m/>
    <m/>
    <s v="Depressive disorder (day 3611); Ketoacidosis due to type 1 diabetes mellitus (day 3149); Nonproliferative retinopathy of left eye due to diabetes mellitus (day 1262, 1968, 4751, 4852); Nonproliferative retinopathy of right eye due to diabetes mellitus (day 4299, 4751, 4852)"/>
    <m/>
    <s v="insulin, regular, human (day 5, for 97 days); insulin aspart, human (day 5, for 0 days); insulin aspart, human (day 93, for 27 days); insulin, regular, human (day 258, for 27 days); insulin aspart, human (day 258, for 37 days); insulin, regular, human (day 322, for 27 days); insulin aspart, human (day 364, for 61 days); insulin, regular, human (day 422, for 81 days); insulin aspart, human (day 511, for 27 days); insulin, regular, human (day 580, for 27 days); insulin aspart, human (day 692, for 112 days); insulin, regular, human (day 692, for 27 days); insulin, regular, human (day 777, for 27 days); insulin, regular, human (day 841, for 27 days); insulin aspart, human (day 841, for 27 days); insulin, regular, human (day 936, for 27 days); insulin aspart, human (day 936, for 27 days); insulin glargine (day 961, for 27 days); insulin aspart, human (day 999, for 491 days); insulin glargine (day 1062, for 27 days); insulin glargine (day 1155, for 27 days); insulin glargine (day 1213, for 129 days); insulin glargine (day 1406, for 84 days); insulin aspart, human (day 1574, for 97 days); insulin glargine (day 1574, for 27 days); insulin glargine (day 1644, for 27 days); insulin aspart, human (day 1707, for 113 days); insulin glargine (day 1707, for 113 days); insulin glargine (day 1888, for 65 days); insulin aspart, human (day 1888, for 87 days); insulin aspart, human (day 2037, for 27 days); insulin aspart, human (day 2123, for 79 days); insulin aspart, human (day 2240, for 55 days); insulin aspart, human (day 2351, for 464 days); insulin aspart, human (day 2861, for 26 days); insulin aspart, human (day 2925, for 3 days); insulin aspart, human (day 2968, for 194 days); insulin aspart, human (day 3197, for 3 days); insulin aspart, human (day 3240, for 3 days); insulin aspart, human (day 3281, for 3 days); insulin aspart, human (day 3324, for 3 days); insulin aspart, human (day 3369, for 36 days); insulin aspart, human (day 3457, for 157 days); insulin aspart, human (day 3654, for 3 days); insulin aspart, human (day 3702, for 47 days); insulin aspart, human (day 3838, for 3 days); insulin aspart, human (day 3912, for 27 days); insulin aspart, human (day 3974, for 3 days); insulin aspart, human (day 4032, for 86 days); insulin aspart, human (day 4160, for 3 days); insulin aspart, human (day 4200, for 3 days); insulin aspart, human (day 4283, for 3 days); insulin aspart, human (day 4356, for 3 days); insulin aspart, human (day 4422, for 52 days); insulin aspart, human (day 4528, for 3 days); insulin aspart, human (day 4564, for 3 days); insulin aspart, human (day 4613, for 3 days); insulin aspart, human (day 4669, for 3 days); insulin aspart, human (day 4724, for 3 days); insulin aspart, human (day 4760, for 3 days); insulin aspart, human (day 4802, for 66 days); insulin aspart, human (day 4986, for 3 days); insulin aspart, human (day 5041, for 3 days); insulin aspart, human (day 5091, for 51 days); insulin aspart, human (day 5203, for 57 days); insulin aspart, human (day 5305, for 110 days);"/>
    <m/>
    <x v="1"/>
  </r>
  <r>
    <n v="1026210195"/>
    <n v="37"/>
    <s v="Male"/>
    <s v="-7836 days - 2083 days"/>
    <s v="Office Visit"/>
    <s v="Type 1 diabetes mellitus (EHR);"/>
    <m/>
    <m/>
    <m/>
    <m/>
    <m/>
    <m/>
    <m/>
    <m/>
    <s v="Depressive disorder (day 2022); Diabetes mellitus (day 1225); Nonproliferative retinopathy of left eye due to diabetes mellitus (day 1685)"/>
    <m/>
    <s v="insulin lispro (day 1, for 27 days); insulin lispro (day 82, for 27 days); insulin lispro (day 153, for 27 days); insulin lispro (day 251, for 27 days); insulin lispro (day 356, for 27 days); insulin lispro (day 441, for 27 days); insulin lispro (day 585, for 27 days); insulin lispro (day 694, for 139 days); insulin lispro (day 876, for 27 days); insulin lispro (day 944, for 27 days); insulin glargine (day 985, for 117 days); insulin lispro (day 1002, for 275 days); insulin glargine (day 1145, for 27 days); insulin glargine (day 1219, for 58 days); insulin lispro (day 1308, for 182 days); insulin glargine (day 1392, for 0 days); insulin glargine (day 1441, for 22 days); insulin lispro (day 1524, for 565 days); insulin glargine (day 1524, for 28 days); insulin glargine (day 1636, for 0 days); insulin glargine (day 1709, for 0 days); insulin glargine (day 1748, for 23 days); metformin (day 1834, for 136 days); insulin glargine (day 1853, for 0 days); insulin glargine (day 1909, for 0 days); insulin glargine (day 1943, for 0 days); metformin (day 2022, for 67 days); insulin glargine (day 2034, for 0 days);"/>
    <m/>
    <x v="1"/>
  </r>
  <r>
    <n v="1084310679"/>
    <n v="14"/>
    <s v="Male"/>
    <s v="-3543 days - 3451 days"/>
    <s v="Office Visit"/>
    <s v="Type 1 diabetes mellitus (EHR);"/>
    <m/>
    <m/>
    <m/>
    <m/>
    <m/>
    <m/>
    <m/>
    <m/>
    <m/>
    <m/>
    <s v="insulin aspart, human (day 13, for 3428 days);"/>
    <m/>
    <x v="0"/>
  </r>
  <r>
    <n v="1086910999"/>
    <n v="27"/>
    <s v="Male"/>
    <s v="-6397 days - 478 days"/>
    <s v="Office Visit"/>
    <s v="Type 1 diabetes mellitus (EHR);"/>
    <m/>
    <m/>
    <m/>
    <m/>
    <m/>
    <m/>
    <m/>
    <m/>
    <m/>
    <m/>
    <s v="insulin degludec (day 7, for 20 days); insulin aspart, human (day 7, for 20 days); insulin degludec (day 96, for 0 days); insulin aspart, human (day 96, for 0 days); insulin aspart, human (day 166, for 30 days); insulin degludec (day 195, for 0 days); insulin aspart, human (day 232, for 8 days); insulin degludec (day 232, for 8 days); insulin degludec (day 271, for 0 days); insulin aspart, human (day 271, for 94 days); insulin degludec (day 327, for 0 days);"/>
    <m/>
    <x v="0"/>
  </r>
  <r>
    <n v="1112310707"/>
    <n v="17"/>
    <s v="Male"/>
    <s v="-2965 days - 2738 days"/>
    <s v="Office Visit"/>
    <s v="Type 1 diabetes mellitus (EHR);"/>
    <m/>
    <m/>
    <m/>
    <m/>
    <m/>
    <m/>
    <m/>
    <m/>
    <s v="Mixed anxiety and depressive disorder (day 1530); Type 1 diabetes mellitus (day 637)"/>
    <m/>
    <s v="insulin glargine (day 7, for 0 days); insulin aspart, human (day 7, for 0 days); insulin glargine (day 107, for 0 days); insulin aspart, human (day 179, for 27 days); insulin glargine (day 266, for 0 days); insulin glargine (day 371, for 0 days); insulin glargine (day 428, for 0 days); insulin aspart, human (day 428, for 83 days); insulin glargine (day 548, for 0 days); insulin glargine (day 675, for 27 days); insulin aspart, human (day 753, for 66 days); insulin glargine (day 753, for 0 days); insulin glargine (day 792, for 0 days); insulin glargine (day 855, for 0 days); insulin aspart, human (day 855, for 27 days); insulin glargine (day 918, for 0 days); insulin aspart, human (day 963, for 82 days); insulin glargine (day 988, for 30 days); insulin glargine (day 1141, for 0 days); insulin glargine (day 1207, for 0 days); insulin glargine (day 1239, for 0 days); insulin aspart, human (day 1239, for 83 days); insulin glargine (day 1295, for 0 days); insulin glargine (day 1354, for 0 days); insulin aspart, human (day 1354, for 118 days); insulin glargine (day 1404, for 0 days); insulin glargine (day 1445, for 0 days); insulin glargine (day 1488, for 0 days); insulin aspart, human (day 1530, for 298 days); insulin glargine (day 1530, for 0 days); insulin glargine (day 1591, for 0 days); insulin glargine (day 1628, for 0 days); insulin glargine (day 1680, for 22 days); insulin glargine (day 1743, for 51 days); insulin glargine (day 1828, for 0 days); insulin aspart, human (day 1876, for 0 days); insulin glargine (day 1876, for 0 days); insulin aspart, human (day 1926, for 0 days); insulin glargine (day 1926, for 0 days); insulin aspart, human (day 1962, for 0 days); insulin glargine (day 1962, for 0 days); insulin aspart, human (day 2011, for 23 days); insulin glargine (day 2011, for 21 days); insulin aspart, human (day 2074, for 28 days); insulin glargine (day 2074, for 28 days); insulin glargine (day 2139, for 0 days); insulin aspart, human (day 2139, for 0 days); insulin glargine (day 2171, for 0 days); insulin aspart, human (day 2171, for 0 days); insulin glargine (day 2202, for 0 days); insulin glargine (day 2233, for 1 days); insulin glargine (day 2276, for 112 days); insulin aspart, human (day 2276, for 57 days); insulin aspart, human (day 2387, for 0 days); insulin aspart, human (day 2424, for 0 days); insulin glargine (day 2424, for 0 days); insulin glargine (day 2465, for 0 days); insulin aspart, human (day 2465, for 0 days); insulin aspart, human (day 2507, for 0 days); insulin glargine (day 2507, for 0 days); insulin glargine (day 2545, for 0 days); insulin aspart, human (day 2545, for 0 days); insulin aspart, human (day 2576, for 29 days); insulin glargine (day 2576, for 7 days);"/>
    <m/>
    <x v="0"/>
  </r>
  <r>
    <n v="1146710626"/>
    <n v="9"/>
    <s v="Male"/>
    <s v="-1111 days - 1403 days"/>
    <s v="Office Visit"/>
    <s v="Type 1 diabetes mellitus (EHR);"/>
    <m/>
    <m/>
    <m/>
    <m/>
    <m/>
    <m/>
    <m/>
    <m/>
    <m/>
    <m/>
    <s v="insulin aspart, human (day 6, for 132 days); insulin aspart, human (day 189, for 663 days); insulin aspart, human (day 1071, for 169 days);"/>
    <m/>
    <x v="0"/>
  </r>
  <r>
    <n v="1244410740"/>
    <n v="12"/>
    <s v="Female"/>
    <s v="-942 days - 128 days"/>
    <s v="Office Visit"/>
    <s v="Type 1 diabetes mellitus (EHR);"/>
    <m/>
    <m/>
    <m/>
    <m/>
    <m/>
    <m/>
    <m/>
    <m/>
    <m/>
    <m/>
    <s v="insulin aspart, human (day 2, for 104 days);"/>
    <m/>
    <x v="0"/>
  </r>
  <r>
    <n v="1292410740"/>
    <n v="29"/>
    <s v="Male"/>
    <s v="-491 days - 383 days"/>
    <s v="Office Visit"/>
    <s v="Type 1 diabetes mellitus (EHR);"/>
    <m/>
    <m/>
    <m/>
    <m/>
    <m/>
    <m/>
    <m/>
    <m/>
    <s v="Nonproliferative retinopathy of left eye due to diabetes mellitus (day 56); Type 1 diabetes mellitus (day 80)"/>
    <m/>
    <s v="insulin aspart, human (day 55, for 27 days); insulin degludec (day 55, for 27 days); insulin aspart, human (day 160, for 0 days); insulin degludec (day 166, for 42 days); insulin aspart, human (day 195, for 13 days); insulin aspart, human (day 308, for 21 days); insulin aspart, human (day 362, for 8 days); insulin degludec (day 367, for 3 days);"/>
    <m/>
    <x v="1"/>
  </r>
  <r>
    <n v="1344710011"/>
    <n v="4"/>
    <s v="Female"/>
    <s v="-1342 days - 228 days"/>
    <s v="Office Visit"/>
    <s v="Type 1 diabetes mellitus (EHR);"/>
    <m/>
    <m/>
    <m/>
    <m/>
    <m/>
    <m/>
    <m/>
    <m/>
    <s v="Ketoacidosis due to type 1 diabetes mellitus (day 32)"/>
    <m/>
    <s v="insulin aspart, human (day 0, for 231 days);"/>
    <m/>
    <x v="1"/>
  </r>
  <r>
    <n v="1419010939"/>
    <n v="16"/>
    <s v="Female"/>
    <s v="-6083 days - 2955 days"/>
    <s v="Office Visit"/>
    <s v="Type 1 diabetes mellitus (EHR);"/>
    <m/>
    <s v="Tired all the time (day -29)"/>
    <m/>
    <m/>
    <m/>
    <m/>
    <m/>
    <m/>
    <m/>
    <m/>
    <s v="insulin aspart, human (day 45, for 4 days); insulin glargine (day 90, for 14 days); insulin aspart, human (day 104, for 4 days); insulin aspart, human (day 142, for 32 days); insulin aspart, human (day 213, for 14 days); insulin glargine (day 223, for 16 days); insulin aspart, human (day 266, for 1 days); insulin aspart, human (day 307, for 1 days); insulin glargine (day 380, for 0 days); insulin aspart, human (day 405, for 1 days); insulin glargine (day 426, for 0 days); insulin aspart, human (day 454, for 1 days); insulin aspart, human (day 493, for 1 days); insulin glargine (day 493, for 0 days); insulin aspart, human (day 535, for 1 days); insulin glargine (day 580, for 0 days); insulin aspart, human (day 588, for 52 days); insulin glargine (day 650, for 0 days); insulin aspart, human (day 672, for 0 days); insulin glargine (day 707, for 0 days); insulin aspart, human (day 763, for 0 days); insulin glargine (day 804, for 0 days); insulin aspart, human (day 833, for 727 days); insulin glargine (day 1532, for 0 days); insulin aspart, human (day 1612, for 500 days); insulin glargine (day 2071, for 0 days); insulin aspart, human (day 2144, for 27 days); insulin aspart, human (day 2255, for 27 days); insulin aspart, human (day 2325, for 56 days); insulin aspart, human (day 2414, for 27 days); insulin aspart, human (day 2507, for 215 days); insulin aspart, human (day 2764, for 27 days); insulin aspart, human (day 2830, for 40 days); insulin glargine (day 2838, for 0 days); insulin aspart, human (day 2904, for 63 days);"/>
    <m/>
    <x v="1"/>
  </r>
  <r>
    <n v="1591110113"/>
    <n v="3"/>
    <s v="Female"/>
    <s v="-1197 days - 451 days"/>
    <s v="Office Visit"/>
    <s v="Type 1 diabetes mellitus (EHR);"/>
    <m/>
    <m/>
    <m/>
    <m/>
    <m/>
    <m/>
    <m/>
    <m/>
    <m/>
    <m/>
    <s v="insulin aspart, human (day 31, for 125 days); insulin aspart, human (day 213, for 27 days); insulin aspart, human (day 283, for 65 days); insulin aspart, human (day 388, for 27 days);"/>
    <m/>
    <x v="0"/>
  </r>
  <r>
    <n v="1654310321"/>
    <n v="15"/>
    <s v="Male"/>
    <s v="-2530 days - 2397 days"/>
    <s v="Office Visit"/>
    <s v="Type 1 diabetes mellitus (EHR);"/>
    <m/>
    <m/>
    <m/>
    <m/>
    <m/>
    <m/>
    <m/>
    <m/>
    <s v="Depressive disorder (day 1716); Diabetes mellitus (day 2131); Type 1 diabetes mellitus (day 1543, 1635, 2131)"/>
    <m/>
    <s v="insulin aspart, human (day 3, for 0 days); insulin glargine (day 3, for 0 days); insulin glargine (day 38, for 0 days); insulin aspart, human (day 38, for 0 days); insulin aspart, human (day 92, for 0 days); insulin glargine (day 130, for 0 days); insulin aspart, human (day 296, for 98 days); insulin glargine (day 339, for 49 days); insulin aspart, human (day 469, for 0 days); insulin aspart, human (day 505, for 24 days); insulin glargine (day 596, for 0 days); insulin aspart, human (day 665, for 0 days); insulin glargine (day 666, for 0 days); insulin aspart, human (day 738, for 0 days); insulin glargine (day 738, for 0 days); insulin aspart, human (day 869, for 0 days); insulin glargine (day 1569, for 0 days); insulin aspart, human (day 1569, for 0 days); insulin glargine (day 2016, for 0 days); insulin aspart, human (day 2016, for 0 days);"/>
    <m/>
    <x v="0"/>
  </r>
  <r>
    <n v="1697510114"/>
    <n v="10"/>
    <s v="Male"/>
    <s v="-3063 days - 80 days"/>
    <s v="Office Visit"/>
    <s v="Type 1 diabetes mellitus (EHR);"/>
    <m/>
    <m/>
    <m/>
    <m/>
    <m/>
    <m/>
    <m/>
    <m/>
    <m/>
    <m/>
    <s v="insulin aspart, human (day 32, for 27 days);"/>
    <m/>
    <x v="0"/>
  </r>
  <r>
    <n v="1721910713"/>
    <n v="12"/>
    <s v="Female"/>
    <s v="-2714 days - 871 days"/>
    <s v="Office Visit"/>
    <s v="Type 1 diabetes mellitus (EHR);"/>
    <m/>
    <m/>
    <m/>
    <m/>
    <m/>
    <m/>
    <m/>
    <m/>
    <s v="Diabetes mellitus (day 445, 845)"/>
    <m/>
    <s v="insulin aspart, human (day 445, for 4 days); insulin glargine (day 445, for 0 days); insulin aspart, human (day 745, for 38 days); insulin glargine (day 779, for 0 days);"/>
    <m/>
    <x v="0"/>
  </r>
  <r>
    <n v="1833510766"/>
    <n v="4"/>
    <s v="Female"/>
    <s v="-1405 days - 5656 days"/>
    <s v="Office Visit"/>
    <s v="Type 1 diabetes mellitus (EHR);"/>
    <m/>
    <m/>
    <m/>
    <m/>
    <m/>
    <m/>
    <m/>
    <m/>
    <s v="Ketoacidosis due to type 1 diabetes mellitus (day 4718)"/>
    <m/>
    <s v="insulin, regular, human (day 2, for 28 days); insulin lispro (day 58, for 27 days); insulin, regular, human (day 75, for 27 days); insulin, regular, human (day 191, for 133 days); insulin lispro (day 303, for 27 days); insulin glargine (day 362, for 0 days); insulin lispro (day 388, for 27 days); insulin aspart, human (day 423, for 0 days); insulin aspart, human (day 456, for 1582 days); insulin lispro (day 542, for 27 days); insulin glargine (day 542, for 0 days); insulin glargine (day 905, for 0 days); insulin lispro (day 905, for 65 days); insulin lispro (day 1115, for 27 days); insulin lispro (day 1186, for 27 days); insulin glargine (day 1376, for 27 days); insulin lispro (day 1376, for 53 days); insulin aspart, human (day 2087, for 1248 days); insulin lispro (day 2546, for 27 days); insulin glargine (day 2546, for 27 days); insulin glargine (day 3035, for 27 days); insulin lispro (day 3035, for 27 days); insulin aspart, human (day 3400, for 0 days); insulin lispro (day 3400, for 27 days); insulin aspart, human (day 3448, for 0 days); insulin aspart, human (day 3516, for 0 days); insulin aspart, human (day 3557, for 0 days); insulin aspart, human (day 3636, for 29 days); insulin glargine (day 3665, for 27 days); insulin lispro (day 3665, for 27 days); insulin aspart, human (day 3742, for 0 days); insulin aspart, human (day 3792, for 25 days); insulin aspart, human (day 3888, for 0 days); insulin aspart, human (day 3972, for 0 days); insulin aspart, human (day 4113, for 0 days); insulin aspart, human (day 4166, for 0 days); insulin aspart, human (day 4257, for 0 days); insulin aspart, human (day 4300, for 0 days); insulin aspart, human (day 4363, for 0 days); insulin aspart, human (day 4432, for 0 days); insulin aspart, human (day 4490, for 0 days); insulin aspart, human (day 4595, for 0 days); insulin aspart, human (day 4642, for 0 days); insulin aspart, human (day 4679, for 0 days); insulin aspart, human (day 4741, for 0 days); insulin aspart, human (day 4792, for 0 days); insulin aspart, human (day 4826, for 0 days); insulin aspart, human (day 4868, for 0 days); insulin aspart, human (day 4911, for 0 days); insulin aspart, human (day 4986, for 0 days); insulin aspart, human (day 5079, for 0 days); insulin aspart, human (day 5167, for 0 days); insulin aspart, human (day 5261, for 0 days); insulin glargine (day 5294, for 0 days); insulin aspart, human (day 5294, for 2 days); insulin aspart, human (day 5384, for 23 days); insulin aspart, human (day 5482, for 0 days); insulin aspart, human (day 5561, for 0 days); insulin aspart, human (day 5622, for 0 days);"/>
    <m/>
    <x v="1"/>
  </r>
  <r>
    <n v="1837010125"/>
    <n v="12"/>
    <s v="Female"/>
    <s v="-4588 days - 2179 days"/>
    <s v="Office Visit"/>
    <s v="Type 1 diabetes mellitus (EHR);"/>
    <m/>
    <m/>
    <m/>
    <m/>
    <m/>
    <m/>
    <m/>
    <m/>
    <s v="Type 1 diabetes mellitus (day 1644)"/>
    <m/>
    <s v="insulin aspart, human (day 0, for 83 days); insulin aspart, human (day 119, for 27 days); insulin aspart, human (day 202, for 27 days); insulin aspart, human (day 525, for 73 days); insulin aspart, human (day 1166, for 27 days); insulin aspart, human (day 1533, for 27 days); insulin aspart, human (day 2149, for 27 days);"/>
    <m/>
    <x v="0"/>
  </r>
  <r>
    <n v="1865510448"/>
    <n v="13"/>
    <s v="Male"/>
    <s v="-2805 days - 862 days"/>
    <s v="Office Visit"/>
    <s v="Type 1 diabetes mellitus (EHR);"/>
    <m/>
    <s v="Fatigue (day -4)"/>
    <m/>
    <m/>
    <m/>
    <m/>
    <m/>
    <m/>
    <m/>
    <m/>
    <s v="insulin aspart, human (day 8, for 4 days); insulin glargine (day 29, for 0 days); insulin aspart, human (day 57, for 26 days); insulin aspart, human (day 125, for 4 days); insulin glargine (day 125, for 0 days); insulin aspart, human (day 210, for 4 days); insulin glargine (day 210, for 0 days); insulin aspart, human (day 262, for 49 days); insulin glargine (day 273, for 0 days); insulin aspart, human (day 405, for 4 days); insulin aspart, human (day 471, for 4 days); insulin aspart, human (day 568, for 4 days); insulin aspart, human (day 610, for 4 days); insulin aspart, human (day 680, for 4 days); insulin aspart, human (day 715, for 4 days); insulin glargine (day 715, for 0 days); insulin aspart, human (day 814, for 4 days); insulin glargine (day 853, for 0 days); insulin aspart, human (day 853, for 4 days);"/>
    <m/>
    <x v="1"/>
  </r>
  <r>
    <n v="2000210593"/>
    <n v="7"/>
    <s v="Male"/>
    <s v="-2213 days - 173 days"/>
    <s v="Office Visit"/>
    <s v="Type 1 diabetes mellitus (EHR);"/>
    <m/>
    <m/>
    <m/>
    <m/>
    <m/>
    <m/>
    <m/>
    <m/>
    <m/>
    <m/>
    <s v="insulin glargine (day 4, for 27 days); insulin aspart, human (day 4, for 27 days);"/>
    <m/>
    <x v="0"/>
  </r>
  <r>
    <n v="2062710552"/>
    <n v="19"/>
    <s v="Male"/>
    <s v="-384 days - 630 days"/>
    <s v="Office Visit"/>
    <s v="Type 1 diabetes mellitus (EHR);"/>
    <m/>
    <m/>
    <m/>
    <m/>
    <m/>
    <m/>
    <m/>
    <m/>
    <s v="Diabetes mellitus (day 17); Endogenous depression first episode (day 415)"/>
    <m/>
    <s v="insulin aspart, human (day 62, for 0 days); insulin aspart, human (day 170, for 0 days); insulin aspart, human (day 415, for 0 days); insulin aspart, human (day 496, for 0 days); insulin aspart, human (day 588, for 0 days);"/>
    <m/>
    <x v="0"/>
  </r>
  <r>
    <n v="2072410974"/>
    <n v="17"/>
    <s v="Male"/>
    <s v="-5305 days - 2323 days"/>
    <s v="Office Visit"/>
    <s v="Type 1 diabetes mellitus (EHR);"/>
    <m/>
    <m/>
    <m/>
    <m/>
    <m/>
    <m/>
    <m/>
    <m/>
    <s v="Mixed anxiety and depressive disorder (day 2251); Type 1 diabetes mellitus (day 43)"/>
    <m/>
    <s v="insulin aspart, human (day 19, for 17 days); insulin glargine (day 34, for 2 days); insulin glargine (day 67, for 70 days); insulin aspart, human (day 70, for 67 days); insulin glargine (day 175, for 49 days); insulin aspart, human (day 175, for 49 days); insulin aspart, human (day 258, for 0 days); insulin glargine (day 258, for 0 days); insulin aspart, human (day 301, for 83 days); insulin glargine (day 301, for 83 days); insulin glargine (day 540, for 0 days); insulin aspart, human (day 540, for 26 days); insulin aspart, human (day 606, for 72 days); insulin glargine (day 651, for 27 days); insulin aspart, human (day 715, for 82 days); insulin glargine (day 715, for 82 days); insulin aspart, human (day 834, for 84 days); insulin glargine (day 837, for 81 days); insulin aspart, human (day 949, for 87 days); insulin glargine (day 949, for 87 days); insulin aspart, human (day 1076, for 29 days); insulin glargine (day 1076, for 29 days); insulin aspart, human (day 1142, for 28 days); insulin glargine (day 1142, for 28 days); insulin aspart, human (day 1210, for 0 days); insulin glargine (day 1210, for 0 days); insulin aspart, human (day 1243, for 0 days); insulin glargine (day 1243, for 0 days); insulin aspart, human (day 1280, for 30 days); insulin glargine (day 1280, for 30 days); insulin aspart, human (day 1341, for 51 days); insulin glargine (day 1341, for 51 days); insulin glargine (day 1426, for 0 days); insulin aspart, human (day 1426, for 0 days); insulin aspart, human (day 1468, for 0 days); insulin glargine (day 1468, for 0 days); insulin glargine (day 1509, for 25 days); insulin aspart, human (day 1509, for 25 days); insulin glargine (day 1567, for 27 days); insulin aspart, human (day 1567, for 27 days); insulin glargine (day 1651, for 0 days); insulin aspart, human (day 1651, for 0 days); insulin aspart, human (day 1712, for 46 days); insulin glargine (day 1712, for 46 days); insulin glargine (day 1807, for 28 days); insulin aspart, human (day 1807, for 28 days); insulin glargine (day 1875, for 0 days); insulin aspart, human (day 1875, for 0 days); insulin glargine (day 1932, for 26 days); insulin aspart, human (day 1932, for 26 days); insulin glargine (day 2041, for 23 days); insulin aspart, human (day 2041, for 23 days); insulin aspart, human (day 2101, for 0 days); insulin glargine (day 2101, for 0 days); insulin glargine (day 2140, for 0 days); insulin aspart, human (day 2140, for 0 days); insulin glargine (day 2177, for 22 days); insulin aspart, human (day 2177, for 22 days); insulin glargine (day 2233, for 0 days); insulin aspart, human (day 2233, for 0 days); insulin glargine (day 2280, for 28 days); insulin aspart, human (day 2280, for 28 days);"/>
    <m/>
    <x v="0"/>
  </r>
  <r>
    <n v="2196210387"/>
    <n v="6"/>
    <s v="Male"/>
    <s v="-914 days - 935 days"/>
    <s v="Office Visit"/>
    <s v="Type 1 diabetes mellitus (EHR);"/>
    <m/>
    <m/>
    <m/>
    <m/>
    <m/>
    <m/>
    <m/>
    <m/>
    <m/>
    <m/>
    <s v="insulin, regular, human (day 2, for 137 days); insulin, regular, human (day 199, for 27 days); insulin aspart, human (day 239, for 27 days); insulin, regular, human (day 331, for 27 days); insulin, regular, human (day 389, for 66 days); insulin aspart, human (day 389, for 66 days); insulin, regular, human (day 486, for 27 days); insulin aspart, human (day 568, for 83 days); insulin, regular, human (day 568, for 267 days); insulin aspart, human (day 710, for 59 days); insulin, regular, human (day 899, for 27 days);"/>
    <m/>
    <x v="0"/>
  </r>
  <r>
    <n v="2220510348"/>
    <n v="19"/>
    <s v="Male"/>
    <s v="-943 days - 1218 days"/>
    <s v="Office Visit"/>
    <s v="Type 1 diabetes mellitus (EHR);"/>
    <m/>
    <m/>
    <m/>
    <m/>
    <m/>
    <m/>
    <m/>
    <m/>
    <m/>
    <m/>
    <s v="insulin aspart, human (day 6, for 219 days); insulin aspart, human (day 258, for 205 days);"/>
    <m/>
    <x v="0"/>
  </r>
  <r>
    <n v="2353710622"/>
    <n v="16"/>
    <s v="Female"/>
    <s v="-1658 days - 672 days"/>
    <s v="Office Visit"/>
    <s v="Type 1 diabetes mellitus (EHR);"/>
    <s v="Celiac disease (day -742)"/>
    <m/>
    <m/>
    <m/>
    <m/>
    <m/>
    <m/>
    <m/>
    <s v="Type 1 diabetes mellitus (day 435)"/>
    <m/>
    <s v="insulin aspart, human (day 0, for 13 days); insulin glargine (day 0, for 13 days); insulin aspart, human (day 55, for 86 days); insulin glargine (day 55, for 23 days); insulin glargine (day 141, for 0 days); insulin glargine (day 188, for 0 days); insulin aspart, human (day 188, for 28 days); insulin aspart, human (day 266, for 41 days); insulin glargine (day 307, for 0 days); insulin degludec (day 346, for 0 days); insulin aspart, human (day 357, for 0 days); insulin aspart, human (day 391, for 0 days); insulin degludec (day 391, for 0 days); insulin aspart, human (day 434, for 0 days); insulin degludec (day 434, for 0 days); insulin aspart, human (day 469, for 0 days); insulin degludec (day 469, for 0 days); insulin aspart, human (day 513, for 0 days); insulin aspart, human (day 561, for 0 days); insulin degludec (day 561, for 0 days); insulin degludec (day 637, for 0 days); insulin aspart, human (day 637, for 0 days);"/>
    <m/>
    <x v="0"/>
  </r>
  <r>
    <n v="2459710934"/>
    <n v="3"/>
    <s v="Male"/>
    <s v="-951 days - 602 days"/>
    <s v="Office Visit"/>
    <s v="Type 1 diabetes mellitus (EHR);"/>
    <m/>
    <m/>
    <m/>
    <m/>
    <m/>
    <m/>
    <m/>
    <m/>
    <m/>
    <m/>
    <s v="insulin aspart, human (day 1, for 228 days); insulin aspart, human (day 293, for 319 days);"/>
    <m/>
    <x v="0"/>
  </r>
  <r>
    <n v="2625910670"/>
    <n v="13"/>
    <s v="Female"/>
    <s v="-2079 days - 1974 days"/>
    <s v="Office Visit"/>
    <s v="Type 1 diabetes mellitus (EHR);"/>
    <m/>
    <m/>
    <m/>
    <m/>
    <m/>
    <m/>
    <m/>
    <m/>
    <s v="Ketoacidosis due to type 1 diabetes mellitus (day 1248)"/>
    <m/>
    <s v="insulin aspart, human (day 34, for 0 days); insulin, regular, human (day 37, for 50 days); insulin aspart, human (day 81, for 218 days); insulin aspart, human (day 338, for 288 days); insulin aspart, human (day 663, for 52 days); insulin aspart, human (day 746, for 27 days); insulin aspart, human (day 815, for 114 days); insulin aspart, human (day 993, for 27 days); insulin aspart, human (day 1083, for 97 days); insulin aspart, human (day 1217, for 194 days); insulin aspart, human (day 1451, for 115 days); insulin aspart, human (day 1663, for 222 days); insulin aspart, human (day 1945, for 27 days);"/>
    <m/>
    <x v="1"/>
  </r>
  <r>
    <n v="2850010979"/>
    <n v="2"/>
    <s v="Male"/>
    <s v="-630 days - 2283 days"/>
    <s v="Office Visit"/>
    <s v="Type 1 diabetes mellitus (EHR);"/>
    <m/>
    <m/>
    <m/>
    <m/>
    <m/>
    <m/>
    <m/>
    <m/>
    <m/>
    <m/>
    <s v="insulin aspart, human (day 12, for 1 days); insulin aspart, human (day 55, for 1 days); insulin aspart, human (day 97, for 1 days); insulin aspart, human (day 201, for 127 days); insulin aspart, human (day 369, for 125 days); insulin aspart, human (day 541, for 58 days); insulin aspart, human (day 686, for 103 days); insulin aspart, human (day 832, for 27 days); insulin aspart, human (day 910, for 340 days); insulin aspart, human (day 1314, for 300 days); insulin aspart, human (day 1647, for 310 days); insulin aspart, human (day 1994, for 310 days);"/>
    <m/>
    <x v="0"/>
  </r>
  <r>
    <n v="2990210861"/>
    <n v="1"/>
    <s v="Male"/>
    <s v="-367 days - 508 days"/>
    <s v="Office Visit"/>
    <s v="Type 1 diabetes mellitus (EHR);"/>
    <m/>
    <m/>
    <m/>
    <m/>
    <m/>
    <m/>
    <m/>
    <m/>
    <m/>
    <m/>
    <s v="insulin aspart, human (day 106, for 3 days); insulin aspart, human (day 150, for 27 days); insulin aspart, human (day 220, for 27 days); insulin aspart, human (day 303, for 3 days); insulin aspart, human (day 373, for 3 days); insulin aspart, human (day 421, for 3 days); insulin aspart, human (day 488, for 15 days);"/>
    <m/>
    <x v="0"/>
  </r>
  <r>
    <n v="3525210465"/>
    <n v="53"/>
    <s v="Male"/>
    <s v="-2268 days - 2189 days"/>
    <s v="Office Visit"/>
    <s v="Type 1 diabetes mellitus (EHR);"/>
    <m/>
    <m/>
    <m/>
    <m/>
    <m/>
    <m/>
    <m/>
    <m/>
    <s v="Type 1 diabetes mellitus (day 1266)"/>
    <m/>
    <s v="insulin, regular, human (day 0, for 69 days); insulin, regular, human (day 383, for 27 days); insulin, regular, human (day 508, for 27 days); insulin, regular, human (day 605, for 27 days); insulin, regular, human (day 721, for 66 days); insulin, regular, human (day 1096, for 27 days); insulin, regular, human (day 1235, for 27 days); insulin, regular, human (day 1369, for 27 days); insulin, regular, human (day 1453, for 27 days); insulin, regular, human (day 1530, for 57 days); insulin, regular, human (day 1634, for 84 days); insulin, regular, human (day 1769, for 202 days); insulin, regular, human (day 2019, for 69 days); insulin, regular, human (day 2121, for 27 days);"/>
    <m/>
    <x v="0"/>
  </r>
  <r>
    <n v="3782210815"/>
    <n v="43"/>
    <s v="Female"/>
    <s v="-1462 days - 4578 days"/>
    <s v="Office Visit"/>
    <s v="Type 1 diabetes mellitus (EHR);"/>
    <m/>
    <m/>
    <m/>
    <m/>
    <m/>
    <m/>
    <m/>
    <m/>
    <m/>
    <m/>
    <s v="insulin aspart, human (day 2, for 0 days); insulin aspart, human (day 166, for 36 days); insulin glargine (day 175, for 0 days); insulin glargine (day 238, for 27 days); insulin aspart, human (day 238, for 27 days); insulin glargine (day 299, for 27 days); insulin aspart, human (day 383, for 27 days); insulin glargine (day 383, for 27 days); insulin aspart, human (day 537, for 27 days); insulin glargine (day 537, for 27 days); insulin glargine (day 737, for 27 days); insulin aspart, human (day 737, for 27 days); insulin aspart, human (day 807, for 27 days); insulin glargine (day 807, for 27 days); insulin aspart, human (day 1015, for 27 days); insulin glargine (day 1015, for 27 days); insulin aspart, human (day 1282, for 27 days); insulin glargine (day 1282, for 27 days); insulin glargine (day 1374, for 27 days); insulin aspart, human (day 1374, for 27 days); insulin aspart, human (day 1759, for 27 days); insulin glargine (day 1759, for 27 days); insulin glargine (day 1913, for 27 days); insulin aspart, human (day 1913, for 27 days); insulin aspart, human (day 2091, for 27 days); insulin glargine (day 2091, for 27 days); insulin aspart, human (day 2234, for 27 days); insulin glargine (day 2234, for 27 days); insulin aspart, human (day 2515, for 27 days); insulin glargine (day 2515, for 27 days); insulin aspart, human (day 2602, for 27 days); insulin glargine (day 2602, for 27 days); insulin aspart, human (day 2667, for 27 days); insulin glargine (day 2667, for 27 days); insulin glargine (day 2883, for 27 days); insulin aspart, human (day 2883, for 27 days); insulin glargine (day 3019, for 27 days); insulin aspart, human (day 3019, for 27 days); insulin glargine (day 3254, for 27 days); insulin aspart, human (day 3254, for 27 days); insulin glargine (day 3352, for 27 days); insulin aspart, human (day 3352, for 27 days); insulin glargine (day 3439, for 62 days); insulin aspart, human (day 3439, for 62 days); insulin glargine (day 3569, for 27 days); insulin aspart, human (day 3569, for 27 days); insulin aspart, human (day 3718, for 27 days); insulin glargine (day 3718, for 27 days); insulin glargine (day 3877, for 27 days); insulin aspart, human (day 3877, for 27 days); insulin aspart, human (day 4018, for 27 days); insulin glargine (day 4018, for 27 days); insulin aspart, human (day 4221, for 27 days); insulin glargine (day 4221, for 27 days); insulin aspart, human (day 4404, for 27 days); insulin glargine (day 4404, for 27 days);"/>
    <m/>
    <x v="0"/>
  </r>
  <r>
    <n v="4946010229"/>
    <n v="5"/>
    <s v="Female"/>
    <s v="-1750 days - 6407 days"/>
    <s v="Office Visit"/>
    <s v="Type 1 diabetes mellitus (EHR);"/>
    <m/>
    <m/>
    <m/>
    <m/>
    <m/>
    <m/>
    <m/>
    <m/>
    <s v="Mixed anxiety and depressive disorder (day 5237); Type 1 diabetes mellitus (day 333)"/>
    <m/>
    <s v="insulin lispro (day 1186, for 27 days); insulin glargine (day 1186, for 27 days); insulin glargine (day 1254, for 27 days); insulin lispro (day 1254, for 27 days); insulin lispro (day 1430, for 27 days); insulin lispro (day 1526, for 27 days); insulin glargine (day 1539, for 80 days); insulin lispro (day 1592, for 27 days); insulin lispro (day 1665, for 126 days); insulin glargine (day 1665, for 27 days); insulin glargine (day 1870, for 27 days); insulin lispro (day 1890, for 27 days); insulin lispro (day 1959, for 92 days); insulin glargine (day 2066, for 27 days); insulin lispro (day 2115, for 27 days); insulin lispro (day 2177, for 27 days); insulin glargine (day 2218, for 27 days); insulin lispro (day 2247, for 243 days); insulin glargine (day 2304, for 27 days); insulin glargine (day 2407, for 83 days); insulin lispro (day 2526, for 27 days); insulin lispro (day 2605, for 257 days); insulin glargine (day 2605, for 27 days); insulin glargine (day 2731, for 27 days); insulin glargine (day 2806, for 27 days); insulin lispro (day 2911, for 107 days); insulin glargine (day 2911, for 27 days); insulin glargine (day 2991, for 27 days); insulin lispro (day 3065, for 181 days); insulin glargine (day 3118, for 80 days); insulin glargine (day 3279, for 27 days); insulin lispro (day 3279, for 660 days); insulin glargine (day 3353, for 78 days); insulin glargine (day 3482, for 27 days); insulin glargine (day 3563, for 121 days); insulin glargine (day 3775, for 123 days); insulin lispro (day 3975, for 134 days); insulin glargine (day 3975, for 27 days); insulin glargine (day 4048, for 61 days); insulin glargine (day 4145, for 74 days); insulin lispro (day 4146, for 75 days); insulin lispro (day 4263, for 349 days); insulin glargine (day 4298, for 72 days); insulin glargine (day 4454, for 123 days); insulin lispro (day 4692, for 89 days); insulin glargine (day 4727, for 54 days); insulin glargine (day 4839, for 27 days); insulin lispro (day 4839, for 27 days); insulin glargine (day 4930, for 80 days); insulin lispro (day 4930, for 104 days); insulin lispro (day 5105, for 27 days); insulin glargine (day 5105, for 27 days); insulin glargine (day 6064, for 49 days); insulin lispro (day 6064, for 49 days); insulin lispro (day 6162, for 27 days); insulin glargine (day 6162, for 27 days); insulin glargine (day 6223, for 27 days); insulin lispro (day 6223, for 27 days); insulin glargine (day 6285, for 27 days); insulin glargine (day 6351, for 41 days); insulin lispro (day 6351, for 67 days);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643110884"/>
    <n v="50"/>
    <s v="Male"/>
    <s v="-833 days - 4200 days"/>
    <s v="Office Visit"/>
    <s v="10g monofilament sensation R foot normal (EHR); All pulses present in left foot (EHR); All pulses present in right foot (EHR); Type 1 diabetes mellitus (EHR);"/>
    <m/>
    <m/>
    <m/>
    <m/>
    <m/>
    <m/>
    <m/>
    <m/>
    <s v="Type 1 diabetes mellitus (day 1516)"/>
    <m/>
    <s v="insulin aspart, human (day 36, for 2022 days); insulin aspart, human (day 2091, for 372 days); insulin aspart, human (day 2497, for 28 days); insulin aspart, human (day 2561, for 26 days); insulin aspart, human (day 2629, for 0 days); insulin aspart, human (day 2666, for 0 days); insulin aspart, human (day 2699, for 0 days); insulin aspart, human (day 2738, for 0 days); insulin aspart, human (day 2770, for 49 days); insulin aspart, human (day 2861, for 155 days); insulin aspart, human (day 3052, for 104 days); insulin aspart, human (day 3203, for 766 days);"/>
    <m/>
    <x v="0"/>
  </r>
  <r>
    <n v="706710306"/>
    <n v="48"/>
    <s v="Male"/>
    <s v="-2693 days - 5002 days"/>
    <s v="Office Visit"/>
    <s v="Acute pancreatitis (EHR); Type 1 diabetes mellitus (EHR);"/>
    <m/>
    <m/>
    <m/>
    <m/>
    <m/>
    <m/>
    <m/>
    <m/>
    <s v="Chronic kidney disease stage 3 (day 2341); Diabetes mellitus (day 1670, 1800, 1922, 1985, 3353, 3612, 4397); Nonproliferative retinopathy due to diabetes mellitus (day 3251, 4517); Nonproliferative retinopathy of right eye due to diabetes mellitus (day 3251); Type 1 diabetes mellitus (day 1669)"/>
    <m/>
    <s v="insulin glargine (day 1670, for 157 days); insulin aspart, human (day 1823, for 27 days); insulin aspart, human (day 1894, for 55 days); insulin aspart, human (day 1985, for 27 days); insulin aspart, human (day 2066, for 94 days); insulin aspart, human (day 2227, for 0 days); insulin aspart, human (day 2271, for 0 days); insulin aspart, human (day 2334, for 0 days); insulin aspart, human (day 2387, for 0 days); insulin aspart, human (day 2478, for 0 days); insulin aspart, human (day 2517, for 0 days); insulin aspart, human (day 2591, for 0 days); insulin aspart, human (day 2642, for 0 days); insulin aspart, human (day 2706, for 0 days); insulin aspart, human (day 2765, for 0 days); insulin aspart, human (day 2823, for 0 days); insulin aspart, human (day 2871, for 0 days); insulin aspart, human (day 2934, for 0 days); insulin aspart, human (day 2990, for 0 days); insulin aspart, human (day 3060, for 0 days); insulin aspart, human (day 3129, for 0 days); insulin aspart, human (day 3182, for 0 days); insulin aspart, human (day 3244, for 0 days); insulin aspart, human (day 3313, for 0 days); insulin aspart, human (day 3353, for 0 days); insulin aspart, human (day 3452, for 0 days); insulin aspart, human (day 3538, for 0 days); insulin aspart, human (day 3612, for 0 days); insulin aspart, human (day 3697, for 0 days); insulin aspart, human (day 3760, for 0 days); insulin aspart, human (day 3843, for 0 days); insulin aspart, human (day 3922, for 0 days); insulin aspart, human (day 3998, for 0 days); insulin aspart, human (day 4081, for 0 days); insulin aspart, human (day 4148, for 0 days); insulin aspart, human (day 4211, for 0 days); insulin aspart, human (day 4308, for 0 days); insulin aspart, human (day 4397, for 0 days); insulin aspart, human (day 4461, for 0 days); insulin aspart, human (day 4533, for 0 days); insulin aspart, human (day 4595, for 0 days); insulin aspart, human (day 4649, for 0 days); insulin aspart, human (day 4698, for 0 days); insulin aspart, human (day 4756, for 0 days); insulin aspart, human (day 4824, for 0 days); insulin aspart, human (day 4887, for 14 days);"/>
    <m/>
    <x v="0"/>
  </r>
  <r>
    <n v="384210994"/>
    <n v="30"/>
    <s v="Male"/>
    <s v="-7106 days - 903 days"/>
    <s v="Office Visit"/>
    <s v="Asymptomatic periapical periodontitis (EHR); Dental caries (EHR); Type 1 diabetes mellitus (EHR);"/>
    <m/>
    <m/>
    <m/>
    <m/>
    <m/>
    <m/>
    <m/>
    <m/>
    <m/>
    <m/>
    <s v="insulin glargine (day 8, for 178 days); insulin aspart, human (day 8, for 178 days); insulin aspart, human (day 218, for 243 days); insulin glargine (day 218, for 243 days); insulin aspart, human (day 543, for 28 days); insulin glargine (day 543, for 28 days);"/>
    <m/>
    <x v="0"/>
  </r>
  <r>
    <n v="1502010397"/>
    <n v="15"/>
    <s v="Male"/>
    <s v="-1969 days - 1588 days"/>
    <s v="Office Visit"/>
    <s v="Atypical chest pain (EHR); Type 1 diabetes mellitus (EHR);"/>
    <m/>
    <m/>
    <m/>
    <m/>
    <m/>
    <m/>
    <m/>
    <m/>
    <s v="Type 1 diabetes mellitus (day 47, 677)"/>
    <m/>
    <s v="insulin aspart, human (day 1, for 1586 days); insulin, regular, human (day 1, for 44 days); metformin (day 1091, for 29 days); insulin glargine (day 1091, for 28 days); insulin glargine (day 1155, for 0 days); metformin (day 1155, for 41 days); insulin glargine (day 1189, for 89 days); metformin (day 1238, for 69 days); insulin glargine (day 1327, for 0 days); insulin glargine (day 1359, for 0 days); insulin glargine (day 1400, for 26 days); insulin glargine (day 1482, for 0 days);"/>
    <m/>
    <x v="0"/>
  </r>
  <r>
    <n v="503810366"/>
    <n v="72"/>
    <s v="Male"/>
    <s v="-5496 days - 1202 days"/>
    <s v="Office Visit"/>
    <s v="Blood pressure finding (EHR); Diabetes mellitus (EHR); Type 1 diabetes mellitus (EHR);"/>
    <m/>
    <m/>
    <s v="Cerebrovascular accident (day -162); Reactive depression (situational) (day -2647)"/>
    <m/>
    <m/>
    <m/>
    <m/>
    <m/>
    <s v="Depressive disorder (day 157, 262); Recurrent major depressive episodes (day 350)"/>
    <m/>
    <s v="insulin aspart, human (day 33, for 60 days); insulin glargine (day 125, for 98 days); insulin glargine (day 279, for 27 days); insulin glargine (day 369, for 67 days); insulin glargine (day 510, for 27 days); insulin glargine (day 614, for 74 days); insulin glargine (day 754, for 35 days); insulin glargine (day 930, for 27 days); insulin glargine (day 991, for 73 days); insulin glargine (day 1189, for 0 days);"/>
    <m/>
    <x v="0"/>
  </r>
  <r>
    <n v="5282710166"/>
    <n v="22"/>
    <s v="Male"/>
    <s v="-3845 days - 3300 days"/>
    <s v="Office Visit"/>
    <s v="Blood pressure finding (EHR); Diabetes mellitus (EHR); Type 1 diabetes mellitus (EHR);"/>
    <m/>
    <m/>
    <m/>
    <m/>
    <m/>
    <m/>
    <m/>
    <m/>
    <s v="Diabetic ketoacidosis (day 5); Ketoacidosis due to type 1 diabetes mellitus (day 2315)"/>
    <m/>
    <s v="insulin aspart, human (day 4, for 128 days); insulin aspart, human (day 245, for 27 days); insulin aspart, human (day 326, for 0 days); insulin aspart, human (day 441, for 0 days); insulin aspart, human (day 490, for 78 days); insulin aspart, human (day 636, for 85 days); insulin aspart, human (day 753, for 0 days); insulin aspart, human (day 788, for 0 days); insulin aspart, human (day 819, for 0 days); insulin aspart, human (day 854, for 0 days); insulin aspart, human (day 887, for 87 days); insulin aspart, human (day 1034, for 160 days); insulin aspart, human (day 1247, for 90 days); insulin aspart, human (day 1380, for 857 days); insulin aspart, human (day 2286, for 84 days); insulin aspart, human (day 2406, for 120 days); insulin aspart, human (day 2568, for 194 days); insulin aspart, human (day 2825, for 176 days); insulin lispro (day 3001, for 0 days); insulin lispro (day 3049, for 18 days); insulin lispro (day 3101, for 26 days); insulin lispro (day 3169, for 126 days);"/>
    <m/>
    <x v="0"/>
  </r>
  <r>
    <n v="153910595"/>
    <n v="60"/>
    <s v="Male"/>
    <s v="-938 days - 1257 days"/>
    <s v="Office Visit"/>
    <s v="Diabetes mellitus (EHR); Insulin treated type 2 diabetes mellitus (EHR); Type 1 diabetes mellitus (EHR);"/>
    <m/>
    <m/>
    <m/>
    <m/>
    <m/>
    <m/>
    <m/>
    <m/>
    <s v="Diabetes mellitus (day 323, 406, 1006); Type 1 diabetes mellitus (day 778, 1006); Type 2 diabetes mellitus (day 406)"/>
    <m/>
    <m/>
    <m/>
    <x v="0"/>
  </r>
  <r>
    <n v="239110163"/>
    <n v="11"/>
    <s v="Female"/>
    <s v="-893 days - 7129 days"/>
    <s v="Office Visit"/>
    <s v="Diabetes mellitus (EHR); Type 1 diabetes mellitus (EHR);"/>
    <m/>
    <m/>
    <m/>
    <m/>
    <m/>
    <m/>
    <m/>
    <m/>
    <s v="Diabetes mellitus (day 1418, 1936); Retinopathy due to diabetes mellitus (day 923)"/>
    <m/>
    <s v="insulin aspart, human (day 0, for 27 days); insulin aspart, human (day 66, for 27 days); insulin aspart, human (day 150, for 0 days); insulin aspart, human (day 229, for 0 days); insulin aspart, human (day 292, for 0 days); insulin aspart, human (day 354, for 0 days); insulin aspart, human (day 385, for 0 days); insulin glargine (day 445, for 27 days); insulin aspart, human (day 488, for 0 days); insulin glargine (day 528, for 27 days); insulin aspart, human (day 528, for 0 days); insulin glargine (day 586, for 27 days); insulin aspart, human (day 586, for 0 days); insulin aspart, human (day 633, for 0 days); insulin glargine (day 661, for 77 days); insulin aspart, human (day 691, for 0 days); insulin aspart, human (day 728, for 0 days); insulin glargine (day 769, for 84 days); insulin aspart, human (day 826, for 0 days); insulin aspart, human (day 886, for 0 days); insulin glargine (day 889, for 290 days); insulin aspart, human (day 944, for 53 days); insulin aspart, human (day 1047, for 0 days); insulin aspart, human (day 1099, for 0 days); insulin aspart, human (day 1152, for 0 days); insulin aspart, human (day 1187, for 0 days); insulin glargine (day 1215, for 1178 days); insulin aspart, human (day 1236, for 0 days); insulin aspart, human (day 1272, for 0 days); insulin aspart, human (day 1315, for 0 days); insulin aspart, human (day 1369, for 0 days); insulin aspart, human (day 1414, for 0 days); insulin aspart, human (day 1449, for 0 days); insulin aspart, human (day 1524, for 0 days); insulin aspart, human (day 1566, for 0 days); insulin aspart, human (day 1600, for 15 days); insulin aspart, human (day 1673, for 0 days); insulin aspart, human (day 1715, for 53 days); insulin aspart, human (day 1812, for 0 days); insulin aspart, human (day 1845, for 0 days); insulin aspart, human (day 1909, for 30 days); insulin aspart, human (day 2012, for 0 days); insulin aspart, human (day 2055, for 21 days); insulin aspart, human (day 2126, for 0 days); insulin aspart, human (day 2168, for 0 days); insulin aspart, human (day 2254, for 28 days); insulin aspart, human (day 2320, for 0 days); insulin aspart, human (day 2366, for 0 days); insulin aspart, human (day 2405, for 0 days); insulin glargine (day 2432, for 154 days); insulin aspart, human (day 2457, for 0 days); insulin aspart, human (day 2499, for 0 days); insulin aspart, human (day 2541, for 45 days); insulin glargine (day 2624, for 0 days); insulin glargine (day 2658, for 0 days); insulin aspart, human (day 2671, for 0 days); insulin glargine (day 2700, for 21 days); insulin aspart, human (day 2721, for 0 days); insulin glargine (day 2761, for 29 days); insulin aspart, human (day 2761, for 0 days); insulin aspart, human (day 2821, for 0 days); insulin glargine (day 2848, for 28 days); insulin aspart, human (day 2876, for 0 days); insulin aspart, human (day 2909, for 0 days); insulin glargine (day 2910, for 0 days); insulin aspart, human (day 2959, for 56 days); insulin glargine (day 2986, for 29 days); insulin aspart, human (day 3052, for 0 days); insulin glargine (day 3052, for 0 days); insulin aspart, human (day 3119, for 0 days); insulin glargine (day 3119, for 0 days); insulin aspart, human (day 3157, for 0 days); insulin glargine (day 3157, for 0 days); insulin glargine (day 3205, for 0 days); insulin glargine (day 3237, for 29 days); insulin aspart, human (day 3237, for 29 days); insulin glargine (day 3316, for 28 days); insulin aspart, human (day 3316, for 28 days); insulin glargine (day 3394, for 43 days); insulin aspart, human (day 3394, for 43 days); insulin glargine (day 3497, for 0 days); insulin aspart, human (day 3532, for 0 days); insulin glargine (day 3532, for 0 days); insulin glargine (day 3566, for 0 days); insulin aspart, human (day 3566, for 0 days); insulin glargine (day 3609, for 0 days); insulin aspart, human (day 3609, for 0 days); insulin glargine (day 3640, for 0 days); insulin aspart, human (day 3640, for 0 days); insulin glargine (day 3674, for 0 days); insulin aspart, human (day 3674, for 0 days); insulin glargine (day 3720, for 0 days); insulin aspart, human (day 3720, for 0 days); insulin aspart, human (day 3771, for 0 days); insulin glargine (day 3771, for 0 days); insulin glargine (day 3806, for 0 days); insulin aspart, human (day 3806, for 29 days); insulin glargine (day 3854, for 0 days); insulin aspart, human (day 3876, for 0 days); insulin glargine (day 3892, for 0 days); insulin aspart, human (day 3912, for 56 days); insulin glargine (day 3939, for 29 days); insulin glargine (day 4018, for 0 days); insulin aspart, human (day 4018, for 27 days); insulin glargine (day 4084, for 0 days); insulin aspart, human (day 4088, for 0 days); insulin glargine (day 4120, for 0 days); insulin aspart, human (day 4120, for 0 days); insulin aspart, human (day 4163, for 0 days); insulin glargine (day 4163, for 0 days); insulin glargine (day 4217, for 0 days); insulin aspart, human (day 4217, for 0 days); insulin aspart, human (day 4261, for 58 days); insulin glargine (day 4261, for 30 days); insulin glargine (day 4367, for 0 days); insulin aspart, human (day 4367, for 0 days); insulin aspart, human (day 4414, for 0 days); insulin glargine (day 4414, for 28 days); insulin glargine (day 4478, for 0 days); insulin aspart, human (day 4478, for 0 days); insulin glargine (day 4535, for 0 days); insulin aspart, human (day 4535, for 0 days); insulin glargine (day 4567, for 0 days); insulin aspart, human (day 4567, for 0 days); insulin aspart, human (day 4641, for 0 days); insulin glargine (day 4641, for 0 days); insulin glargine (day 4694, for 1 days); insulin aspart, human (day 4694, for 1 days); insulin aspart, human (day 4749, for 0 days); insulin glargine (day 4812, for 0 days); insulin aspart, human (day 4812, for 0 days); insulin glargine (day 4847, for 0 days); insulin aspart, human (day 4884, for 0 days); insulin glargine (day 4884, for 0 days); insulin glargine (day 4924, for 0 days); insulin aspart, human (day 4924, for 0 days); insulin aspart, human (day 5001, for 0 days); insulin glargine (day 5001, for 0 days); insulin glargine (day 5036, for 29 days); insulin aspart, human (day 5036, for 29 days); insulin aspart, human (day 5134, for 0 days); insulin glargine (day 5134, for 0 days); insulin glargine (day 5179, for 0 days); insulin aspart, human (day 5215, for 0 days); insulin glargine (day 5215, for 0 days); insulin aspart, human (day 5254, for 0 days); insulin glargine (day 5254, for 0 days); insulin glargine (day 5288, for 0 days); insulin aspart, human (day 5288, for 0 days); insulin glargine (day 5374, for 0 days); insulin aspart, human (day 5374, for 0 days); insulin glargine (day 5409, for 0 days); insulin aspart, human (day 5409, for 0 days); insulin aspart, human (day 5445, for 0 days); insulin glargine (day 5445, for 0 days); insulin aspart, human (day 5516, for 0 days); insulin glargine (day 5516, for 0 days); insulin aspart, human (day 5592, for 0 days); insulin glargine (day 5592, for 0 days); insulin glargine (day 5631, for 0 days); insulin aspart, human (day 5631, for 0 days); insulin glargine (day 5673, for 0 days); insulin aspart, human (day 5708, for 0 days); insulin glargine (day 5708, for 0 days); insulin glargine (day 5759, for 0 days); insulin aspart, human (day 5759, for 0 days); insulin glargine (day 5802, for 0 days); insulin aspart, human (day 5802, for 0 days); insulin glargine (day 5870, for 0 days); insulin aspart, human (day 5919, for 0 days); insulin glargine (day 5919, for 0 days); insulin glargine (day 5961, for 24 days); insulin aspart, human (day 5961, for 24 days); insulin degludec (day 6019, for 27 days); insulin aspart, human (day 6046, for 0 days); insulin degludec (day 6107, for 0 days); insulin aspart, human (day 6107, for 0 days); insulin aspart, human (day 6139, for 0 days); insulin degludec (day 6139, for 0 days); insulin aspart, human (day 6177, for 101 days); insulin degludec (day 6195, for 17 days); insulin degludec (day 6251, for 0 days); insulin glargine (day 6310, for 0 days); insulin aspart, human (day 6310, for 883 days); insulin glargine (day 6396, for 0 days); insulin glargine (day 6737, for 0 days); insulin glargine (day 7003, for 0 days);"/>
    <m/>
    <x v="0"/>
  </r>
  <r>
    <n v="258510963"/>
    <n v="48"/>
    <s v="Male"/>
    <s v="-611 days - 763 days"/>
    <s v="Office Visit"/>
    <s v="Diabetes mellitus (EHR); Type 1 diabetes mellitus (EHR);"/>
    <m/>
    <m/>
    <m/>
    <m/>
    <m/>
    <m/>
    <m/>
    <m/>
    <m/>
    <m/>
    <s v="insulin glargine (day 0, for 30 days); insulin aspart, human (day 16, for 52 days); insulin glargine (day 92, for 27 days); insulin aspart, human (day 104, for 27 days); insulin aspart, human (day 171, for 27 days); insulin aspart, human (day 233, for 27 days); insulin aspart, human (day 358, for 76 days); insulin glargine (day 479, for 27 days); insulin aspart, human (day 479, for 27 days); insulin glargine (day 686, for 27 days); insulin aspart, human (day 686, for 27 days); insulin aspart, human (day 751, for 27 days);"/>
    <m/>
    <x v="0"/>
  </r>
  <r>
    <n v="366910461"/>
    <n v="15"/>
    <s v="Male"/>
    <s v="-3416 days - 64 days"/>
    <s v="Office Visit"/>
    <s v="Diabetes mellitus (EHR); Type 1 diabetes mellitus (EHR);"/>
    <m/>
    <m/>
    <m/>
    <m/>
    <m/>
    <m/>
    <m/>
    <m/>
    <m/>
    <m/>
    <s v="insulin aspart, human (day 3, for 30 days);"/>
    <m/>
    <x v="0"/>
  </r>
  <r>
    <n v="592410349"/>
    <n v="21"/>
    <s v="Male"/>
    <s v="-851 days - 1213 days"/>
    <s v="Office Visit"/>
    <s v="Diabetes mellitus (EHR); Mass of skin (EHR); Type 1 diabetes mellitus (EHR);"/>
    <m/>
    <m/>
    <m/>
    <m/>
    <m/>
    <m/>
    <m/>
    <m/>
    <s v="Agitated depression (day 801); Diabetes mellitus (day 511, 750, 801, 854, 1014); Endogenous depression first episode (day 638); Reactive depression (situational) (day 24); Type 1 diabetes mellitus (day 194)"/>
    <m/>
    <s v="insulin, regular, human (day 7, for 27 days); insulin, regular, human (day 84, for 27 days); insulin, regular, human (day 143, for 311 days); insulin, regular, human (day 510, for 141 days); insulin, regular, human (day 706, for 153 days); insulin, regular, human (day 909, for 181 days); insulin, regular, human (day 1154, for 52 days);"/>
    <m/>
    <x v="0"/>
  </r>
  <r>
    <n v="1094310233"/>
    <n v="4"/>
    <s v="Male"/>
    <s v="-1374 days - 6593 days"/>
    <s v="Office Visit"/>
    <s v="Diabetes mellitus (EHR); Type 1 diabetes mellitus (EHR);"/>
    <m/>
    <m/>
    <m/>
    <m/>
    <m/>
    <m/>
    <m/>
    <m/>
    <s v="Herpes zoster (day 5397); Type 1 diabetes mellitus (day 4064)"/>
    <m/>
    <s v="insulin, regular, human (day 4, for 541 days); insulin, regular, human (day 710, for 27 days); insulin, regular, human (day 770, for 118 days); insulin, regular, human (day 920, for 27 days); insulin, regular, human (day 1013, for 620 days); insulin, regular, human (day 1669, for 62 days); insulin lispro (day 1747, for 1394 days); insulin glargine (day 3111, for 0 days); insulin glargine (day 3161, for 0 days); insulin lispro (day 3177, for 27 days); insulin glargine (day 3216, for 73 days); insulin lispro (day 3244, for 125 days); insulin glargine (day 3342, for 0 days); insulin glargine (day 3385, for 0 days); insulin glargine (day 3419, for 0 days); insulin lispro (day 3419, for 27 days); insulin lispro (day 3482, for 27 days); insulin glargine (day 3482, for 29 days); insulin glargine (day 3554, for 0 days); insulin lispro (day 3573, for 27 days); insulin glargine (day 3601, for 0 days); insulin glargine (day 3636, for 0 days); insulin lispro (day 3650, for 120 days); insulin glargine (day 3671, for 49 days); insulin glargine (day 3757, for 0 days); insulin glargine (day 3792, for 29 days); insulin lispro (day 3821, for 27 days); insulin glargine (day 3874, for 0 days); insulin lispro (day 3895, for 27 days); insulin glargine (day 3912, for 0 days); insulin glargine (day 3947, for 0 days); insulin lispro (day 3965, for 83 days); insulin glargine (day 3996, for 25 days); insulin glargine (day 4052, for 0 days); insulin lispro (day 4098, for 27 days); insulin glargine (day 4098, for 0 days); insulin glargine (day 4147, for 23 days); insulin lispro (day 4170, for 27 days); insulin glargine (day 4220, for 15 days); insulin lispro (day 4235, for 27 days); insulin glargine (day 4288, for 17 days); insulin lispro (day 4305, for 27 days); insulin glargine (day 4358, for 20 days); insulin lispro (day 4378, for 27 days); insulin glargine (day 4427, for 0 days); insulin lispro (day 4441, for 27 days); insulin glargine (day 4469, for 0 days); insulin glargine (day 4511, for 30 days); insulin lispro (day 4511, for 27 days); insulin glargine (day 4582, for 0 days); insulin lispro (day 4595, for 83 days); insulin glargine (day 4623, for 52 days); insulin lispro (day 4711, for 27 days); insulin glargine (day 4711, for 0 days); insulin glargine (day 4744, for 0 days); insulin lispro (day 4772, for 27 days); insulin glargine (day 4784, for 0 days); insulin glargine (day 4815, for 25 days); insulin lispro (day 4840, for 27 days); insulin glargine (day 4907, for 0 days); insulin lispro (day 4931, for 27 days); insulin glargine (day 4942, for 0 days); insulin glargine (day 4977, for 0 days); insulin lispro (day 4989, for 27 days); insulin glargine (day 5024, for 30 days); insulin lispro (day 5054, for 27 days); insulin glargine (day 5096, for 0 days); insulin glargine (day 5131, for 0 days); insulin lispro (day 5131, for 27 days); insulin glargine (day 5166, for 20 days); insulin lispro (day 5214, for 27 days); insulin glargine (day 5253, for 29 days); insulin lispro (day 5282, for 27 days); insulin glargine (day 5325, for 0 days); insulin lispro (day 5359, for 68 days); insulin glargine (day 5359, for 0 days); insulin glargine (day 5400, for 0 days); insulin glargine (day 5435, for 0 days); insulin glargine (day 5470, for 0 days); insulin lispro (day 5470, for 27 days); insulin glargine (day 5513, for 0 days); insulin glargine (day 5549, for 0 days); insulin lispro (day 5562, for 27 days); insulin glargine (day 5590, for 30 days); insulin lispro (day 5620, for 27 days); insulin glargine (day 5674, for 0 days); insulin lispro (day 5710, for 27 days); insulin glargine (day 5710, for 0 days); insulin glargine (day 5750, for 29 days); insulin lispro (day 5779, for 27 days); insulin glargine (day 5827, for 0 days); insulin glargine (day 5869, for 0 days); insulin lispro (day 5869, for 64 days); insulin glargine (day 5906, for 0 days); insulin glargine (day 5942, for 0 days); insulin glargine (day 5984, for 0 days); insulin lispro (day 6020, for 74 days); insulin glargine (day 6020, for 0 days); insulin glargine (day 6067, for 0 days); insulin glargine (day 6108, for 0 days); insulin lispro (day 6143, for 27 days); insulin glargine (day 6143, for 27 days); insulin glargine (day 6219, for 0 days); insulin lispro (day 6219, for 70 days); insulin glargine (day 6262, for 29 days); insulin lispro (day 6339, for 27 days); insulin glargine (day 6339, for 0 days); insulin glargine (day 6374, for 0 days); insulin glargine (day 6415, for 0 days); insulin lispro (day 6415, for 27 days); insulin glargine (day 6453, for 0 days); insulin glargine (day 6487, for 0 days); insulin lispro (day 6487, for 111 days); insulin glargine (day 6521, for 0 days); insulin glargine (day 6571, for 0 days);"/>
    <m/>
    <x v="0"/>
  </r>
  <r>
    <n v="1237910593"/>
    <n v="4"/>
    <s v="Male"/>
    <s v="-552 days - 4726 days"/>
    <s v="Office Visit"/>
    <s v="Diabetes mellitus (EHR); Type 1 diabetes mellitus (EHR);"/>
    <m/>
    <m/>
    <m/>
    <m/>
    <m/>
    <m/>
    <m/>
    <m/>
    <s v="Diabetic ketoacidosis (day 3178)"/>
    <m/>
    <s v="insulin, regular, human (day 407, for 205 days); insulin, regular, human (day 672, for 56 days); insulin, regular, human (day 782, for 119 days); insulin, regular, human (day 945, for 168 days); insulin, regular, human (day 1147, for 155 days); insulin, regular, human (day 1441, for 57 days); insulin, regular, human (day 1803, for 27 days); insulin, regular, human (day 1876, for 49 days); insulin aspart, human (day 1953, for 69 days); insulin glargine (day 1953, for 0 days); insulin glargine (day 2036, for 0 days); insulin aspart, human (day 2083, for 27 days); insulin aspart, human (day 2150, for 276 days); insulin glargine (day 2371, for 0 days); insulin aspart, human (day 2462, for 224 days); insulin glargine (day 2640, for 19 days); insulin aspart, human (day 2742, for 160 days); insulin glargine (day 2875, for 0 days); insulin aspart, human (day 2954, for 74 days); insulin glargine (day 2954, for 0 days); insulin glargine (day 3001, for 0 days); insulin aspart, human (day 3070, for 150 days); insulin glargine (day 3106, for 0 days); insulin glargine (day 3162, for 0 days); insulin glargine (day 3253, for 0 days); insulin aspart, human (day 3253, for 180 days); insulin glargine (day 3351, for 0 days); insulin glargine (day 3452, for 0 days); insulin aspart, human (day 3470, for 341 days); insulin glargine (day 3505, for 0 days); insulin glargine (day 3541, for 0 days); insulin glargine (day 3606, for 0 days); insulin glargine (day 3708, for 27 days); insulin glargine (day 3784, for 0 days); insulin aspart, human (day 3857, for 270 days); insulin glargine (day 3997, for 0 days); insulin glargine (day 4065, for 0 days); insulin aspart, human (day 4170, for 266 days); insulin glargine (day 4261, for 0 days); insulin glargine (day 4346, for 0 days); insulin glargine (day 4389, for 0 days); insulin aspart, human (day 4480, for 215 days); insulin glargine (day 4480, for 0 days); insulin glargine (day 4529, for 0 days); insulin glargine (day 4598, for 0 days); insulin glargine (day 4631, for 0 days);"/>
    <m/>
    <x v="0"/>
  </r>
  <r>
    <n v="1489110030"/>
    <n v="60"/>
    <s v="Female"/>
    <s v="-5976 days - 17 days"/>
    <s v="Office Visit"/>
    <s v="Diabetes mellitus (EHR); Type 1 diabetes mellitus (EHR);"/>
    <m/>
    <m/>
    <m/>
    <m/>
    <m/>
    <m/>
    <m/>
    <m/>
    <m/>
    <m/>
    <m/>
    <m/>
    <x v="0"/>
  </r>
  <r>
    <n v="3333010111"/>
    <n v="5"/>
    <s v="Female"/>
    <s v="-1970 days - 1022 days"/>
    <s v="Office Visit"/>
    <s v="Diabetes mellitus (EHR); Diabetic ketoacidosis (EHR); Type 1 diabetes mellitus (EHR);"/>
    <m/>
    <m/>
    <m/>
    <m/>
    <m/>
    <m/>
    <m/>
    <m/>
    <m/>
    <m/>
    <s v="insulin aspart, human (day 1, for 0 days); insulin aspart, human (day 43, for 33 days); insulin aspart, human (day 118, for 76 days); insulin aspart, human (day 259, for 59 days); insulin aspart, human (day 349, for 27 days); insulin aspart, human (day 433, for 83 days); insulin aspart, human (day 553, for 389 days); insulin aspart, human (day 973, for 60 days);"/>
    <m/>
    <x v="0"/>
  </r>
  <r>
    <n v="4298610465"/>
    <n v="33"/>
    <s v="Male"/>
    <s v="-572 days - 3364 days"/>
    <s v="Office Visit"/>
    <s v="Diabetes mellitus (EHR); Type 1 diabetes mellitus (EHR);"/>
    <m/>
    <m/>
    <m/>
    <m/>
    <m/>
    <m/>
    <m/>
    <m/>
    <s v="Diabetes mellitus (day 126, 2656, 2979); Neuropathy due to diabetes mellitus (day 2445); Type 1 diabetes mellitus (day 1886)"/>
    <m/>
    <s v="insulin, regular, human (day 22, for 27 days); insulin, regular, human (day 98, for 27 days); insulin, regular, human (day 156, for 27 days); insulin, regular, human (day 225, for 27 days); insulin, regular, human (day 311, for 55 days); insulin, regular, human (day 483, for 176 days); insulin, regular, human (day 743, for 623 days); insulin, regular, human (day 1453, for 55 days); insulin, regular, human (day 1540, for 55 days); insulin, regular, human (day 1673, for 76 days); insulin, regular, human (day 1843, for 55 days); insulin, regular, human (day 1985, for 292 days); insulin, regular, human (day 2422, for 27 days); insulin, regular, human (day 2548, for 2 days); insulin, regular, human (day 2621, for 2 days); insulin, regular, human (day 2662, for 30 days); insulin, regular, human (day 2741, for 2 days); insulin, regular, human (day 2800, for 2 days); insulin, regular, human (day 2864, for 2 days); insulin, regular, human (day 2919, for 2 days); insulin, regular, human (day 2979, for 2 days); insulin, regular, human (day 3125, for 2 days);"/>
    <m/>
    <x v="0"/>
  </r>
  <r>
    <n v="863610325"/>
    <n v="23"/>
    <s v="Female"/>
    <s v="-4706 days - 3281 days"/>
    <s v="Office Visit"/>
    <s v="Diabetic ketoacidosis (EHR); Type 1 diabetes mellitus (EHR);"/>
    <m/>
    <m/>
    <m/>
    <m/>
    <m/>
    <m/>
    <m/>
    <m/>
    <m/>
    <m/>
    <s v="insulin glargine (day 7, for 0 days); insulin aspart, human (day 7, for 0 days); insulin aspart, human (day 64, for 0 days); insulin aspart, human (day 105, for 0 days); insulin glargine (day 138, for 0 days); insulin aspart, human (day 174, for 0 days); insulin aspart, human (day 228, for 0 days); insulin glargine (day 228, for 0 days); insulin aspart, human (day 307, for 0 days); insulin aspart, human (day 354, for 0 days); insulin glargine (day 354, for 0 days); insulin glargine (day 447, for 0 days); insulin aspart, human (day 447, for 0 days); insulin glargine (day 496, for 0 days); insulin aspart, human (day 496, for 0 days); insulin aspart, human (day 588, for 0 days); insulin glargine (day 650, for 0 days); insulin aspart, human (day 650, for 0 days); insulin aspart, human (day 691, for 0 days); insulin glargine (day 691, for 0 days); insulin aspart, human (day 868, for 0 days); insulin glargine (day 868, for 0 days); insulin glargine (day 1027, for 0 days); insulin aspart, human (day 1027, for 0 days); insulin glargine (day 1077, for 22 days); insulin aspart, human (day 1077, for 22 days); insulin glargine (day 1223, for 0 days); insulin aspart, human (day 1223, for 0 days); insulin aspart, human (day 1364, for 20 days); insulin glargine (day 1384, for 0 days); insulin aspart, human (day 1470, for 0 days); insulin glargine (day 1470, for 0 days); insulin aspart, human (day 1727, for 0 days); insulin glargine (day 1727, for 0 days); insulin aspart, human (day 1790, for 0 days); insulin glargine (day 1790, for 0 days); insulin aspart, human (day 1869, for 28 days); insulin glargine (day 1869, for 28 days); insulin aspart, human (day 1950, for 0 days); insulin glargine (day 1950, for 0 days); insulin aspart, human (day 2021, for 0 days); insulin glargine (day 2021, for 0 days); insulin aspart, human (day 2056, for 0 days); insulin glargine (day 2056, for 0 days); insulin aspart, human (day 2106, for 0 days); insulin glargine (day 2106, for 0 days); insulin aspart, human (day 2183, for 0 days); insulin aspart, human (day 2241, for 0 days); insulin glargine (day 2241, for 0 days); insulin aspart, human (day 2332, for 0 days); insulin glargine (day 2427, for 0 days); insulin aspart, human (day 2427, for 0 days); insulin glargine (day 2462, for 0 days); insulin aspart, human (day 2462, for 0 days); insulin aspart, human (day 2568, for 0 days); insulin glargine (day 2660, for 0 days); insulin aspart, human (day 2660, for 0 days); insulin glargine (day 2756, for 0 days); insulin aspart, human (day 2756, for 0 days); insulin glargine (day 2819, for 0 days); insulin aspart, human (day 2819, for 0 days); insulin aspart, human (day 2862, for 0 days); insulin aspart, human (day 2923, for 0 days); insulin glargine (day 2923, for 0 days); insulin glargine (day 2988, for 0 days); insulin aspart, human (day 2988, for 0 days); insulin aspart, human (day 3046, for 0 days); insulin aspart, human (day 3100, for 0 days); insulin glargine (day 3217, for 0 days); insulin aspart, human (day 3217, for 0 days); insulin aspart, human (day 3268, for 0 days); insulin glargine (day 3268, for 0 days);"/>
    <m/>
    <x v="0"/>
  </r>
  <r>
    <n v="3882310263"/>
    <n v="6"/>
    <s v="Male"/>
    <s v="-2146 days - 399 days"/>
    <s v="Office Visit"/>
    <s v="Hyperglycemia (EHR); Type 1 diabetes mellitus (EHR);"/>
    <m/>
    <m/>
    <m/>
    <m/>
    <m/>
    <m/>
    <m/>
    <m/>
    <m/>
    <m/>
    <s v="insulin aspart, human (day 9, for 27 days); insulin aspart, human (day 74, for 27 days); insulin aspart, human (day 134, for 27 days); insulin aspart, human (day 212, for 69 days); insulin degludec (day 319, for 0 days); insulin aspart, human (day 351, for 27 days); insulin degludec (day 351, for 0 days);"/>
    <m/>
    <x v="0"/>
  </r>
  <r>
    <n v="502810717"/>
    <n v="35"/>
    <s v="Male"/>
    <s v="-6642 days - 967 days"/>
    <s v="Office Visit"/>
    <s v="Ketoacidosis due to type 1 diabetes mellitus (EHR); Type 1 diabetes mellitus (EHR);"/>
    <m/>
    <m/>
    <s v="Mixed anxiety and depressive disorder (day -5692); Recurrent depression (day -930)"/>
    <m/>
    <m/>
    <m/>
    <m/>
    <m/>
    <m/>
    <m/>
    <s v="insulin glargine (day 6, for 101 days); insulin aspart, human (day 6, for 101 days); insulin glargine (day 147, for 211 days); insulin aspart, human (day 147, for 211 days); insulin glargine (day 392, for 0 days); insulin aspart, human (day 392, for 0 days); insulin aspart, human (day 425, for 56 days); insulin glargine (day 425, for 56 days); insulin aspart, human (day 512, for 140 days); insulin glargine (day 512, for 140 days); insulin glargine (day 685, for 27 days); insulin aspart, human (day 685, for 27 days); insulin glargine (day 748, for 0 days); insulin aspart, human (day 748, for 0 days); insulin aspart, human (day 782, for 0 days); insulin glargine (day 782, for 0 days); insulin glargine (day 825, for 0 days); insulin aspart, human (day 825, for 0 days); insulin glargine (day 870, for 0 days); insulin aspart, human (day 870, for 0 days); insulin glargine (day 910, for 27 days); insulin aspart, human (day 910, for 27 days);"/>
    <m/>
    <x v="0"/>
  </r>
  <r>
    <n v="811810047"/>
    <n v="66"/>
    <s v="Male"/>
    <s v="-6128 days - 302 days"/>
    <s v="Office Visit"/>
    <s v="Ketoacidosis due to type 1 diabetes mellitus (EHR); Type 1 diabetes mellitus (EHR);"/>
    <m/>
    <m/>
    <m/>
    <m/>
    <m/>
    <m/>
    <m/>
    <m/>
    <m/>
    <m/>
    <s v="insulin glargine (day 25, for 150 days); insulin aspart, human (day 28, for 0 days); insulin aspart, human (day 63, for 0 days); insulin aspart, human (day 148, for 0 days); insulin glargine (day 206, for 69 days); insulin aspart, human (day 206, for 0 days); insulin aspart, human (day 248, for 0 days); insulin aspart, human (day 298, for 0 days);"/>
    <m/>
    <x v="0"/>
  </r>
  <r>
    <n v="1626210870"/>
    <n v="4"/>
    <s v="Female"/>
    <s v="-1373 days - 1158 days"/>
    <s v="Office Visit"/>
    <s v="Ketoacidosis due to type 1 diabetes mellitus (EHR); Type 1 diabetes mellitus (EHR);"/>
    <m/>
    <m/>
    <m/>
    <m/>
    <m/>
    <m/>
    <m/>
    <m/>
    <m/>
    <m/>
    <s v="insulin glargine (day 7, for 46 days); insulin aspart, human (day 7, for 46 days); insulin aspart, human (day 160, for 27 days); insulin aspart, human (day 221, for 926 days); insulin glargine (day 221, for 309 days);"/>
    <m/>
    <x v="0"/>
  </r>
  <r>
    <n v="2213210607"/>
    <n v="45"/>
    <s v="Female"/>
    <s v="-5870 days - 361 days"/>
    <s v="Office Visit"/>
    <s v="Ketoacidosis due to type 1 diabetes mellitus (EHR);"/>
    <m/>
    <m/>
    <m/>
    <m/>
    <m/>
    <m/>
    <m/>
    <m/>
    <s v="Type 1 diabetes mellitus (day 13)"/>
    <m/>
    <s v="insulin aspart, human (day 14, for 0 days); insulin glargine (day 14, for 0 days); insulin glargine (day 55, for 0 days); insulin aspart, human (day 55, for 0 days); insulin glargine (day 124, for 54 days); insulin aspart, human (day 154, for 24 days); insulin aspart, human (day 228, for 0 days); insulin glargine (day 242, for 0 days); insulin aspart, human (day 291, for 0 days); insulin glargine (day 291, for 0 days); insulin glargine (day 343, for 0 days); insulin aspart, human (day 343, for 0 days);"/>
    <m/>
    <x v="0"/>
  </r>
  <r>
    <n v="5494710200"/>
    <n v="13"/>
    <s v="Male"/>
    <s v="-4682 days - 160 days"/>
    <s v="Office Visit"/>
    <s v="Nocturia (EHR); Type 1 diabetes mellitus (EHR);"/>
    <m/>
    <m/>
    <m/>
    <m/>
    <m/>
    <m/>
    <m/>
    <m/>
    <m/>
    <m/>
    <s v="insulin aspart, human (day 15, for 27 days); insulin degludec (day 15, for 27 days); insulin degludec (day 74, for 0 days); insulin aspart, human (day 74, for 0 days); insulin aspart, human (day 107, for 0 days); insulin degludec (day 107, for 0 days); insulin aspart, human (day 143, for 0 days); insulin degludec (day 143, for 0 days);"/>
    <m/>
    <x v="0"/>
  </r>
  <r>
    <n v="1525510677"/>
    <n v="36"/>
    <s v="Male"/>
    <s v="-1456 days - 7966 days"/>
    <s v="Office Visit"/>
    <s v="Thyrotoxicosis (EHR); Type 1 diabetes mellitus (EHR);"/>
    <m/>
    <m/>
    <m/>
    <m/>
    <m/>
    <m/>
    <m/>
    <m/>
    <s v="Diabetes mellitus (day 204); Disorder of left macula due to diabetes mellitus (day 6596); Disorder of macula due to diabetes mellitus (day 6524, 6596); Nonproliferative retinopathy due to diabetes mellitus (day 5136, 5586, 6524, 6596, 6827); Nonproliferative retinopathy of left eye due to diabetes mellitus (day 5136, 5586, 6524, 6596); Nonproliferative retinopathy of right eye due to diabetes mellitus (day 5586, 6524, 6596); Peripheral nerve disease (day 4493); Type 1 diabetes mellitus (day 245, 1184, 1227, 1281, 1342, 1609, 1771, 2051)"/>
    <m/>
    <s v="insulin aspart, human (day 218, for 152 days); insulin aspart, human (day 413, for 0 days); insulin aspart, human (day 469, for 0 days); insulin aspart, human (day 510, for 0 days); insulin aspart, human (day 566, for 0 days); insulin aspart, human (day 621, for 0 days); insulin aspart, human (day 672, for 0 days); insulin aspart, human (day 716, for 0 days); insulin aspart, human (day 775, for 0 days); insulin aspart, human (day 819, for 0 days); insulin aspart, human (day 873, for 0 days); insulin aspart, human (day 931, for 0 days); insulin aspart, human (day 972, for 0 days); insulin aspart, human (day 1041, for 0 days); insulin aspart, human (day 1076, for 0 days); insulin aspart, human (day 1136, for 0 days); insulin aspart, human (day 1189, for 0 days); insulin aspart, human (day 1230, for 0 days); insulin aspart, human (day 1294, for 0 days); insulin aspart, human (day 1337, for 0 days); insulin aspart, human (day 1395, for 0 days); insulin aspart, human (day 1437, for 0 days); insulin aspart, human (day 1498, for 0 days); insulin aspart, human (day 1541, for 0 days); insulin aspart, human (day 1595, for 0 days); insulin aspart, human (day 1631, for 0 days); insulin aspart, human (day 1679, for 0 days); insulin aspart, human (day 1735, for 0 days); insulin aspart, human (day 1791, for 0 days); insulin aspart, human (day 1833, for 0 days); insulin aspart, human (day 1881, for 0 days); insulin aspart, human (day 1940, for 0 days); insulin aspart, human (day 1974, for 0 days); insulin aspart, human (day 2037, for 0 days); insulin aspart, human (day 2092, for 0 days); insulin aspart, human (day 2140, for 0 days); insulin aspart, human (day 2199, for 0 days); insulin aspart, human (day 2234, for 0 days); insulin aspart, human (day 2287, for 0 days); insulin aspart, human (day 2346, for 28 days); insulin aspart, human (day 2428, for 0 days); insulin aspart, human (day 2485, for 0 days); insulin aspart, human (day 2521, for 0 days); insulin aspart, human (day 2581, for 0 days); insulin aspart, human (day 2631, for 0 days); insulin aspart, human (day 2674, for 0 days); insulin aspart, human (day 2744, for 0 days); insulin aspart, human (day 2785, for 0 days); insulin aspart, human (day 2870, for 0 days); insulin aspart, human (day 2906, for 0 days); insulin aspart, human (day 2968, for 0 days); insulin aspart, human (day 3003, for 0 days); insulin aspart, human (day 3065, for 0 days); insulin aspart, human (day 3122, for 0 days); insulin aspart, human (day 3176, for 0 days); insulin aspart, human (day 3220, for 0 days); insulin aspart, human (day 3271, for 0 days); insulin aspart, human (day 3317, for 0 days); insulin aspart, human (day 3369, for 0 days); insulin aspart, human (day 3430, for 0 days); insulin aspart, human (day 3486, for 0 days); insulin aspart, human (day 3534, for 0 days); insulin aspart, human (day 3584, for 0 days); insulin aspart, human (day 3628, for 164 days); insulin glargine (day 3746, for 26 days); insulin glargine (day 3810, for 21 days); insulin aspart, human (day 3831, for 0 days); insulin glargine (day 3884, for 0 days); insulin glargine (day 3918, for 0 days); insulin aspart, human (day 3918, for 0 days); insulin glargine (day 3974, for 21 days); insulin aspart, human (day 3974, for 21 days); insulin glargine (day 4051, for 0 days); insulin aspart, human (day 4122, for 0 days); insulin aspart, human (day 4269, for 0 days); insulin aspart, human (day 4325, for 0 days); insulin aspart, human (day 4424, for 0 days); insulin aspart, human (day 4510, for 0 days); insulin aspart, human (day 4629, for 0 days); insulin aspart, human (day 4689, for 0 days); insulin aspart, human (day 4836, for 0 days); insulin aspart, human (day 4927, for 0 days); insulin aspart, human (day 5054, for 0 days); insulin aspart, human (day 5091, for 0 days); insulin aspart, human (day 5146, for 0 days); insulin aspart, human (day 5208, for 0 days); insulin aspart, human (day 5406, for 0 days); insulin aspart, human (day 5560, for 0 days); insulin aspart, human (day 5671, for 0 days); insulin aspart, human (day 5759, for 0 days); insulin aspart, human (day 5819, for 0 days); insulin aspart, human (day 5936, for 0 days); insulin aspart, human (day 6041, for 0 days); insulin aspart, human (day 6091, for 0 days); insulin aspart, human (day 6195, for 0 days); insulin aspart, human (day 6260, for 27 days); insulin aspart, human (day 6518, for 0 days); insulin aspart, human (day 6560, for 0 days); insulin aspart, human (day 6676, for 0 days); insulin aspart, human (day 6772, for 4 days); insulin aspart, human (day 6928, for 0 days); insulin aspart, human (day 7019, for 0 days); insulin glargine (day 7022, for 48 days); insulin aspart, human (day 7070, for 0 days); insulin glargine (day 7103, for 0 days); insulin glargine (day 7141, for 27 days); insulin aspart, human (day 7160, for 8 days); insulin glargine (day 7208, for 25 days); insulin glargine (day 7280, for 6 days); insulin aspart, human (day 7286, for 0 days); insulin glargine (day 7330, for 0 days); insulin aspart, human (day 7379, for 0 days); insulin glargine (day 7379, for 0 days); insulin glargine (day 7415, for 0 days); insulin aspart, human (day 7440, for 0 days); insulin glargine (day 7471, for 0 days); insulin aspart, human (day 7483, for 0 days); insulin glargine (day 7506, for 0 days); insulin glargine (day 7539, for 0 days); insulin aspart, human (day 7548, for 0 days); insulin glargine (day 7593, for 0 days); insulin aspart, human (day 7630, for 0 days); insulin glargine (day 7630, for 21 days); insulin glargine (day 7692, for 24 days); insulin aspart, human (day 7692, for 0 days); insulin aspart, human (day 7771, for 0 days); insulin glargine (day 7771, for 0 days); insulin glargine (day 7814, for 0 days); insulin aspart, human (day 7814, for 0 days); insulin aspart, human (day 7863, for 0 days); insulin glargine (day 7863, for 26 days); insulin glargine (day 7923, for 0 days); insulin aspart, human (day 7937, for 0 days);"/>
    <m/>
    <x v="0"/>
  </r>
  <r>
    <n v="3810766"/>
    <n v="11"/>
    <s v="Male"/>
    <s v="-2710 days - 2698 days"/>
    <s v="Office Visit"/>
    <s v="Type 1 diabetes mellitus (EHR);"/>
    <m/>
    <m/>
    <m/>
    <m/>
    <m/>
    <m/>
    <m/>
    <m/>
    <s v="Nonproliferative retinopathy of left eye due to diabetes mellitus (day 2465)"/>
    <m/>
    <s v="insulin aspart, human (day 3, for 27 days); insulin, regular, human (day 3, for 1 days); insulin aspart, human (day 179, for 27 days); insulin glargine (day 213, for 0 days); insulin glargine (day 325, for 0 days); insulin aspart, human (day 403, for 27 days); insulin glargine (day 403, for 0 days); insulin glargine (day 456, for 30 days); insulin glargine (day 584, for 0 days); insulin aspart, human (day 598, for 186 days); insulin glargine (day 630, for 0 days); insulin glargine (day 672, for 0 days); insulin glargine (day 708, for 49 days); insulin glargine (day 805, for 0 days); insulin aspart, human (day 871, for 27 days); insulin glargine (day 871, for 0 days); insulin glargine (day 906, for 20 days); insulin aspart, human (day 934, for 27 days); insulin glargine (day 966, for 0 days); insulin glargine (day 1005, for 21 days); insulin aspart, human (day 1026, for 27 days); insulin glargine (day 1073, for 49 days); insulin aspart, human (day 1122, for 27 days); insulin glargine (day 1162, for 35 days); insulin aspart, human (day 1221, for 31 days); insulin glargine (day 1334, for 0 days); insulin aspart, human (day 1387, for 27 days); insulin glargine (day 1431, for 0 days); insulin glargine (day 1586, for 0 days); insulin glargine (day 1753, for 27 days); insulin aspart, human (day 1780, for 27 days); insulin glargine (day 1885, for 0 days); insulin aspart, human (day 1885, for 27 days); insulin aspart, human (day 2038, for 27 days); insulin glargine (day 2038, for 0 days); insulin aspart, human (day 2130, for 27 days); insulin glargine (day 2130, for 0 days); insulin aspart, human (day 2219, for 27 days); insulin glargine (day 2345, for 0 days); insulin aspart, human (day 2345, for 27 days); insulin glargine (day 2415, for 0 days); insulin aspart, human (day 2415, for 27 days); insulin glargine (day 2479, for 0 days); insulin aspart, human (day 2479, for 27 days); insulin glargine (day 2642, for 0 days); insulin aspart, human (day 2683, for 27 days); insulin glargine (day 2683, for 0 days);"/>
    <m/>
    <x v="0"/>
  </r>
  <r>
    <n v="4610438"/>
    <n v="72"/>
    <s v="Male"/>
    <s v="-7344 days - 1896 days"/>
    <s v="Office Visit"/>
    <s v="Type 1 diabetes mellitus (EHR); Type 2 diabetes mellitus (EHR);"/>
    <m/>
    <m/>
    <s v="Chronic kidney disease stage 3A (day -379)"/>
    <m/>
    <m/>
    <m/>
    <m/>
    <m/>
    <s v="Carpal tunnel syndrome (day 1788); Chronic kidney disease stage 3B (day 175)"/>
    <m/>
    <s v="insulin aspart, human (day 3, for 0 days); insulin glargine (day 41, for 27 days); insulin aspart, human (day 41, for 27 days); insulin aspart, human (day 160, for 49 days); insulin glargine (day 160, for 49 days); insulin glargine (day 461, for 27 days); insulin glargine (day 577, for 27 days); insulin aspart, human (day 681, for 27 days); insulin glargine (day 681, for 27 days); insulin aspart, human (day 794, for 27 days); insulin glargine (day 794, for 27 days); insulin glargine (day 864, for 27 days); insulin glargine (day 941, for 27 days); insulin glargine (day 1018, for 27 days); insulin glargine (day 1122, for 27 days); insulin glargine (day 1204, for 27 days); insulin glargine (day 1277, for 27 days); insulin glargine (day 1351, for 27 days); insulin glargine (day 1434, for 27 days); insulin glargine (day 1533, for 27 days); insulin glargine (day 1613, for 27 days); insulin glargine (day 1697, for 79 days); insulin glargine (day 1827, for 27 days); insulin aspart, human (day 1833, for 0 days);"/>
    <m/>
    <x v="0"/>
  </r>
  <r>
    <n v="9710983"/>
    <n v="12"/>
    <s v="Male"/>
    <s v="-2448 days - 5280 days"/>
    <s v="Office Visit"/>
    <s v="Type 1 diabetes mellitus (EHR);"/>
    <m/>
    <m/>
    <m/>
    <m/>
    <m/>
    <m/>
    <m/>
    <m/>
    <s v="Nonproliferative retinopathy of right eye due to diabetes mellitus (day 2176)"/>
    <m/>
    <s v="insulin aspart, human (day 3, for 30 days); insulin aspart, human (day 68, for 30 days); insulin aspart, human (day 130, for 56 days); insulin aspart, human (day 250, for 28 days); insulin aspart, human (day 314, for 1088 days); insulin aspart, human (day 1441, for 377 days); insulin aspart, human (day 1875, for 1910 days); insulin aspart, human (day 3839, for 27 days); insulin aspart, human (day 3931, for 78 days); insulin aspart, human (day 4078, for 63 days); insulin aspart, human (day 4248, for 110 days); insulin aspart, human (day 4441, for 27 days); insulin aspart, human (day 4499, for 27 days); insulin aspart, human (day 4689, for 136 days); insulin aspart, human (day 4870, for 112 days); insulin aspart, human (day 5066, for 103 days); insulin aspart, human (day 5255, for 27 days);"/>
    <m/>
    <x v="0"/>
  </r>
  <r>
    <n v="62910668"/>
    <n v="59"/>
    <s v="Male"/>
    <s v="-3237 days - 2951 days"/>
    <s v="Office Visit"/>
    <s v="Type 1 diabetes mellitus (EHR);"/>
    <m/>
    <m/>
    <m/>
    <m/>
    <m/>
    <m/>
    <m/>
    <m/>
    <s v="Type 1 diabetes mellitus (day 392, 803)"/>
    <m/>
    <s v="insulin glargine (day 66, for 27 days); insulin aspart, human (day 66, for 27 days); insulin aspart, human (day 158, for 0 days); insulin glargine (day 180, for 0 days); insulin aspart, human (day 223, for 0 days); insulin aspart, human (day 279, for 0 days); insulin glargine (day 279, for 0 days); insulin aspart, human (day 349, for 0 days); insulin glargine (day 349, for 0 days); insulin aspart, human (day 392, for 0 days); insulin glargine (day 434, for 0 days); insulin aspart, human (day 434, for 0 days); insulin glargine (day 475, for 0 days); insulin aspart, human (day 475, for 0 days); insulin aspart, human (day 508, for 0 days); insulin aspart, human (day 542, for 0 days); insulin glargine (day 542, for 0 days); insulin aspart, human (day 607, for 0 days); insulin glargine (day 607, for 0 days); insulin glargine (day 661, for 0 days); insulin aspart, human (day 661, for 24 days); insulin aspart, human (day 738, for 0 days); insulin glargine (day 738, for 0 days); insulin glargine (day 782, for 0 days); insulin aspart, human (day 782, for 0 days); insulin aspart, human (day 819, for 21 days); insulin glargine (day 840, for 0 days); insulin aspart, human (day 875, for 0 days); insulin glargine (day 901, for 0 days); insulin aspart, human (day 927, for 30 days); insulin glargine (day 957, for 0 days); insulin aspart, human (day 1005, for 23 days); insulin glargine (day 1028, for 0 days); insulin aspart, human (day 1081, for 24 days); insulin glargine (day 1081, for 0 days); insulin aspart, human (day 1152, for 23 days); insulin glargine (day 1152, for 0 days); insulin aspart, human (day 1217, for 54 days); insulin glargine (day 1217, for 0 days); insulin glargine (day 1271, for 0 days); insulin aspart, human (day 1322, for 22 days); insulin glargine (day 1344, for 0 days); insulin aspart, human (day 1389, for 57 days); insulin glargine (day 1389, for 0 days); insulin glargine (day 1474, for 0 days); insulin aspart, human (day 1495, for 28 days); insulin glargine (day 1523, for 0 days); insulin aspart, human (day 1593, for 0 days); insulin glargine (day 1617, for 0 days); insulin aspart, human (day 1629, for 741 days); insulin glargine (day 1699, for 0 days); insulin glargine (day 1743, for 0 days); insulin glargine (day 1825, for 0 days); insulin glargine (day 1888, for 0 days); insulin glargine (day 1958, for 0 days); insulin glargine (day 2028, for 0 days); insulin glargine (day 2113, for 0 days); insulin glargine (day 2190, for 0 days); insulin glargine (day 2252, for 0 days); insulin glargine (day 2323, for 0 days); insulin glargine (day 2407, for 0 days); insulin aspart, human (day 2407, for 567 days); insulin glargine (day 2442, for 0 days); insulin glargine (day 2518, for 0 days); insulin glargine (day 2632, for 0 days); insulin glargine (day 2714, for 0 days); insulin glargine (day 2792, for 0 days); insulin glargine (day 2869, for 0 days); insulin glargine (day 2931, for 0 days);"/>
    <m/>
    <x v="0"/>
  </r>
  <r>
    <n v="70210987"/>
    <n v="75"/>
    <s v="Male"/>
    <s v="-8396 days - 223 days"/>
    <s v="Office Visit"/>
    <s v="Type 1 diabetes mellitus (EHR);"/>
    <m/>
    <m/>
    <m/>
    <m/>
    <m/>
    <m/>
    <m/>
    <m/>
    <m/>
    <m/>
    <m/>
    <m/>
    <x v="0"/>
  </r>
  <r>
    <n v="87610928"/>
    <n v="14"/>
    <s v="Male"/>
    <s v="-607 days - 2057 days"/>
    <s v="Office Visit"/>
    <s v="Type 1 diabetes mellitus (EHR);"/>
    <m/>
    <m/>
    <m/>
    <m/>
    <m/>
    <m/>
    <m/>
    <m/>
    <s v="Retinopathy due to diabetes mellitus (day 310)"/>
    <m/>
    <s v="insulin aspart, human (day 11, for 1265 days); insulin aspart, human (day 1308, for 214 days); insulin aspart, human (day 1598, for 209 days); insulin aspart, human (day 1852, for 27 days); insulin aspart, human (day 1917, for 67 days); insulin aspart, human (day 2049, for 27 days);"/>
    <m/>
    <x v="0"/>
  </r>
  <r>
    <n v="92810885"/>
    <n v="24"/>
    <s v="Male"/>
    <s v="-4424 days - 2396 days"/>
    <s v="Office Visit"/>
    <s v="Type 1 diabetes mellitus (EHR);"/>
    <m/>
    <m/>
    <m/>
    <m/>
    <m/>
    <m/>
    <m/>
    <m/>
    <s v="Nonproliferative retinopathy of right eye due to diabetes mellitus (day 1269, 1971); Type 1 diabetes mellitus (day 555, 1862)"/>
    <m/>
    <s v="insulin aspart, human (day 176, for 27 days); insulin aspart, human (day 249, for 27 days); insulin aspart, human (day 555, for 27 days); insulin aspart, human (day 617, for 902 days); insulin aspart, human (day 1576, for 167 days); insulin aspart, human (day 1808, for 187 days); insulin aspart, human (day 2073, for 82 days); insulin aspart, human (day 2219, for 156 days);"/>
    <m/>
    <x v="0"/>
  </r>
  <r>
    <n v="129310347"/>
    <n v="30"/>
    <s v="Male"/>
    <s v="-1008 days - 1233 days"/>
    <s v="Office Visit"/>
    <s v="Type 1 diabetes mellitus (EHR);"/>
    <m/>
    <m/>
    <m/>
    <m/>
    <m/>
    <m/>
    <m/>
    <m/>
    <s v="Ketoacidosis due to type 1 diabetes mellitus (day 5)"/>
    <m/>
    <s v="insulin aspart, human (day 9, for 137 days); insulin aspart, human (day 181, for 113 days); insulin aspart, human (day 342, for 642 days); insulin aspart, human (day 1038, for 188 days);"/>
    <m/>
    <x v="0"/>
  </r>
  <r>
    <n v="214510962"/>
    <n v="67"/>
    <s v="Female"/>
    <s v="-4356 days - 3806 days"/>
    <s v="Office Visit"/>
    <s v="Type 1 diabetes mellitus (EHR);"/>
    <m/>
    <m/>
    <s v="Nephrocalcinosis (day -1793)"/>
    <m/>
    <m/>
    <m/>
    <m/>
    <m/>
    <m/>
    <m/>
    <s v="insulin glargine (day 0, for 0 days); insulin aspart, human (day 0, for 0 days); insulin aspart, human (day 241, for 0 days); insulin glargine (day 241, for 0 days); insulin glargine (day 377, for 0 days); insulin aspart, human (day 377, for 0 days); insulin glargine (day 461, for 0 days); insulin aspart, human (day 461, for 0 days); insulin glargine (day 574, for 0 days); insulin aspart, human (day 574, for 0 days); insulin aspart, human (day 670, for 0 days); insulin glargine (day 670, for 0 days); insulin aspart, human (day 759, for 0 days); insulin glargine (day 759, for 0 days); insulin glargine (day 847, for 0 days); insulin aspart, human (day 847, for 0 days); insulin aspart, human (day 945, for 0 days); insulin glargine (day 945, for 0 days); insulin aspart, human (day 1053, for 0 days); insulin glargine (day 1053, for 0 days); insulin aspart, human (day 1124, for 0 days); insulin glargine (day 1124, for 0 days); insulin glargine (day 1231, for 0 days); insulin aspart, human (day 1231, for 0 days); insulin degludec (day 1316, for 0 days); insulin aspart, human (day 1316, for 0 days); insulin degludec (day 1392, for 0 days); insulin aspart, human (day 1407, for 0 days); insulin degludec (day 1463, for 0 days); insulin aspart, human (day 1463, for 0 days); insulin degludec (day 1609, for 0 days); insulin aspart, human (day 1609, for 0 days); insulin aspart, human (day 1659, for 0 days); insulin degludec (day 1659, for 0 days); insulin degludec (day 1796, for 0 days); insulin aspart, human (day 1796, for 0 days); insulin degludec (day 1834, for 0 days); insulin aspart, human (day 1834, for 0 days); insulin degludec (day 2021, for 0 days); insulin aspart, human (day 2021, for 0 days); insulin aspart, human (day 2068, for 0 days); insulin degludec (day 2121, for 0 days); insulin degludec (day 2240, for 0 days); insulin aspart, human (day 2240, for 0 days); insulin degludec (day 2322, for 0 days); insulin aspart, human (day 2322, for 0 days); insulin aspart, human (day 2405, for 0 days); insulin degludec (day 2405, for 0 days); insulin degludec (day 2526, for 0 days); insulin aspart, human (day 2526, for 0 days); insulin degludec (day 2635, for 0 days); insulin aspart, human (day 2635, for 0 days); insulin degludec (day 2744, for 0 days); insulin aspart, human (day 2744, for 0 days); insulin degludec (day 2847, for 0 days); insulin aspart, human (day 2847, for 0 days); insulin degludec (day 2974, for 0 days); insulin aspart, human (day 2974, for 0 days); insulin degludec (day 3080, for 0 days); insulin aspart, human (day 3080, for 0 days); insulin degludec (day 3181, for 0 days); insulin aspart, human (day 3181, for 0 days); insulin aspart, human (day 3274, for 0 days); insulin degludec (day 3274, for 12 days); insulin aspart, human (day 3388, for 0 days); insulin aspart, human (day 3470, for 0 days); insulin degludec (day 3476, for 0 days); insulin degludec (day 3574, for 0 days); insulin aspart, human (day 3574, for 0 days); insulin aspart, human (day 3689, for 0 days); insulin degludec (day 3728, for 0 days); insulin aspart, human (day 3777, for 0 days); insulin degludec (day 3778, for 0 days);"/>
    <m/>
    <x v="0"/>
  </r>
  <r>
    <n v="244010017"/>
    <n v="17"/>
    <s v="Female"/>
    <s v="-2243 days - 4576 days"/>
    <s v="Office Visit"/>
    <s v="Type 1 diabetes mellitus (EHR); Vulva sore (EHR);"/>
    <m/>
    <m/>
    <m/>
    <m/>
    <m/>
    <m/>
    <m/>
    <m/>
    <s v="Diabetes mellitus (day 1714); Ketoacidotic coma due to type 1 diabetes mellitus (day 1909); Type 1 diabetes mellitus (day 104)"/>
    <m/>
    <s v="insulin, regular, human (day 6, for 408 days); insulin lispro (day 6, for 27 days); insulin lispro (day 163, for 27 days); insulin, regular, human (day 451, for 107 days); insulin lispro (day 485, for 27 days); insulin, regular, human (day 621, for 27 days); insulin, regular, human (day 697, for 27 days); insulin lispro (day 697, for 27 days); insulin aspart, human (day 733, for 27 days); insulin aspart, human (day 794, for 27 days); insulin aspart, human (day 893, for 27 days); insulin glargine (day 951, for 66 days); insulin glargine (day 1049, for 79 days); insulin aspart, human (day 1049, for 79 days); insulin aspart, human (day 1161, for 27 days); insulin glargine (day 1161, for 27 days); insulin glargine (day 1221, for 194 days); insulin aspart, human (day 1265, for 27 days); insulin aspart, human (day 1355, for 60 days); insulin glargine (day 1473, for 65 days); insulin aspart, human (day 1473, for 27 days); insulin glargine (day 1598, for 59 days); insulin aspart, human (day 1598, for 59 days); insulin aspart, human (day 1717, for 27 days); insulin glargine (day 1717, for 27 days); insulin glargine (day 1775, for 176 days); insulin aspart, human (day 1822, for 129 days); insulin glargine (day 1986, for 27 days); insulin aspart, human (day 1986, for 115 days); insulin glargine (day 2048, for 53 days); insulin aspart, human (day 2151, for 209 days); insulin glargine (day 2151, for 209 days); insulin aspart, human (day 2398, for 69 days); insulin glargine (day 2398, for 69 days); insulin aspart, human (day 2526, for 109 days); insulin glargine (day 2526, for 109 days); insulin aspart, human (day 2680, for 27 days); insulin glargine (day 2680, for 27 days); insulin aspart, human (day 2749, for 83 days); insulin glargine (day 2749, for 83 days); insulin aspart, human (day 2867, for 134 days); insulin glargine (day 2867, for 134 days); insulin aspart, human (day 3033, for 27 days); insulin glargine (day 3033, for 27 days); insulin glargine (day 3104, for 167 days); insulin aspart, human (day 3104, for 167 days); insulin glargine (day 3341, for 111 days); insulin aspart, human (day 3387, for 65 days); insulin glargine (day 3506, for 27 days); insulin aspart, human (day 3506, for 27 days); insulin aspart, human (day 3568, for 27 days); insulin glargine (day 3568, for 27 days); insulin glargine (day 3642, for 27 days); insulin aspart, human (day 3670, for 125 days); insulin glargine (day 3761, for 34 days); insulin glargine (day 3838, for 0 days); insulin aspart, human (day 3838, for 132 days); insulin glargine (day 3881, for 0 days); insulin glargine (day 3930, for 13 days); insulin aspart, human (day 4020, for 27 days); insulin glargine (day 4020, for 0 days); insulin aspart, human (day 4086, for 104 days); insulin glargine (day 4086, for 0 days); insulin glargine (day 4125, for 38 days); insulin glargine (day 4238, for 0 days); insulin aspart, human (day 4238, for 27 days); insulin aspart, human (day 4302, for 27 days); insulin glargine (day 4302, for 0 days); insulin aspart, human (day 4384, for 27 days); insulin glargine (day 4384, for 0 days); insulin aspart, human (day 4500, for 27 days); insulin glargine (day 4500, for 0 days);"/>
    <m/>
    <x v="0"/>
  </r>
  <r>
    <n v="319810053"/>
    <n v="13"/>
    <s v="Male"/>
    <s v="-1520 days - 2785 days"/>
    <s v="Office Visit"/>
    <s v="Type 1 diabetes mellitus (EHR);"/>
    <m/>
    <m/>
    <m/>
    <m/>
    <m/>
    <m/>
    <m/>
    <m/>
    <s v="Diabetes mellitus (day 314); Diabetic ketoacidosis (day 2134); Type 1 diabetes mellitus (day 1666)"/>
    <m/>
    <s v="insulin, regular, human (day 4, for 628 days); insulin, regular, human (day 665, for 583 days); insulin aspart, human (day 1159, for 61 days); insulin glargine (day 1159, for 61 days); insulin glargine (day 1284, for 27 days); insulin aspart, human (day 1306, for 27 days); insulin, regular, human (day 1306, for 27 days); insulin aspart, human (day 1368, for 27 days); insulin glargine (day 1368, for 70 days); insulin, regular, human (day 1411, for 27 days); insulin, regular, human (day 1474, for 27 days); insulin aspart, human (day 1474, for 27 days); insulin glargine (day 1508, for 27 days); insulin aspart, human (day 1533, for 27 days); insulin, regular, human (day 1533, for 27 days); insulin aspart, human (day 1609, for 68 days); insulin, regular, human (day 1609, for 27 days); insulin glargine (day 1609, for 68 days); insulin, regular, human (day 1711, for 86 days); insulin aspart, human (day 1732, for 65 days); insulin glargine (day 1770, for 111 days); insulin, regular, human (day 1895, for 27 days); insulin aspart, human (day 1895, for 27 days); insulin, regular, human (day 1971, for 27 days); insulin glargine (day 1971, for 27 days); insulin aspart, human (day 1971, for 63 days); insulin, regular, human (day 2036, for 61 days); insulin glargine (day 2070, for 92 days); insulin aspart, human (day 2070, for 27 days); insulin aspart, human (day 2135, for 27 days); insulin, regular, human (day 2135, for 27 days); insulin aspart, human (day 2218, for 62 days); insulin glargine (day 2218, for 27 days); insulin, regular, human (day 2218, for 235 days); insulin glargine (day 2334, for 119 days); insulin aspart, human (day 2334, for 119 days); insulin glargine (day 2502, for 27 days); insulin, regular, human (day 2502, for 106 days); insulin aspart, human (day 2502, for 106 days); insulin, regular, human (day 2643, for 127 days); insulin aspart, human (day 2684, for 27 days); insulin glargine (day 2719, for 51 days); insulin aspart, human (day 2743, for 27 days);"/>
    <m/>
    <x v="0"/>
  </r>
  <r>
    <n v="358110249"/>
    <n v="40"/>
    <s v="Male"/>
    <s v="-1590 days - 8662 days"/>
    <s v="Office Visit"/>
    <s v="Type 1 diabetes mellitus (EHR);"/>
    <m/>
    <m/>
    <s v="Herpes zoster ophthalmicus (day -1579, -1430)"/>
    <m/>
    <m/>
    <m/>
    <m/>
    <m/>
    <s v="Chronic kidney disease stage 3A (day 8503); Diabetes mellitus (day 189, 376, 980, 1019); Disorder of left macula due to diabetes mellitus (day 6093, 6179); Nonproliferative retinopathy of left eye due to diabetes mellitus (day 5170, 5725, 6093, 6179, 7117, 7504, 7889, 8277); Nonproliferative retinopathy of right eye due to diabetes mellitus (day 5170, 5372, 5725, 6093, 6179, 7117, 7504, 7889, 8277)"/>
    <s v="Conversion to insulin (day 1097)"/>
    <s v="metformin (day 980, for 27 days); insulin aspart, human (day 1105, for 27 days); insulin aspart, human (day 1194, for 27 days); insulin aspart, human (day 1257, for 27 days); insulin aspart, human (day 1323, for 27 days); insulin aspart, human (day 1384, for 225 days); insulin aspart, human (day 1656, for 0 days); insulin aspart, human (day 1699, for 0 days); insulin aspart, human (day 1735, for 0 days); insulin aspart, human (day 1768, for 0 days); insulin aspart, human (day 1803, for 0 days); insulin aspart, human (day 1847, for 0 days); insulin aspart, human (day 1881, for 0 days); insulin aspart, human (day 1929, for 0 days); insulin aspart, human (day 1965, for 0 days); insulin aspart, human (day 2013, for 29 days); insulin aspart, human (day 2091, for 30 days); insulin aspart, human (day 2161, for 20 days); insulin aspart, human (day 2217, for 0 days); insulin aspart, human (day 2259, for 0 days); insulin aspart, human (day 2296, for 0 days); insulin aspart, human (day 2330, for 0 days); insulin aspart, human (day 2363, for 0 days); insulin aspart, human (day 2406, for 0 days); insulin aspart, human (day 2442, for 55 days); insulin aspart, human (day 2540, for 7 days); insulin aspart, human (day 2582, for 0 days); insulin aspart, human (day 2624, for 0 days); insulin aspart, human (day 2664, for 0 days); insulin aspart, human (day 2706, for 14 days); insulin aspart, human (day 2765, for 0 days); insulin aspart, human (day 2799, for 0 days); insulin aspart, human (day 2833, for 23 days); insulin aspart, human (day 2897, for 0 days); insulin aspart, human (day 2931, for 76 days); insulin aspart, human (day 3051, for 0 days); insulin aspart, human (day 3084, for 24 days); insulin aspart, human (day 3140, for 100 days); insulin aspart, human (day 3288, for 0 days); insulin aspart, human (day 3321, for 29 days); insulin aspart, human (day 3386, for 0 days); insulin aspart, human (day 3419, for 42 days); insulin aspart, human (day 3511, for 24 days); insulin aspart, human (day 3567, for 16 days); insulin aspart, human (day 3615, for 29 days); insulin aspart, human (day 3680, for 0 days); insulin aspart, human (day 3723, for 27 days); insulin aspart, human (day 3791, for 28 days); insulin aspart, human (day 3855, for 0 days); insulin aspart, human (day 3889, for 30 days); insulin aspart, human (day 3982, for 19 days); insulin aspart, human (day 4046, for 0 days); insulin aspart, human (day 4080, for 0 days); insulin aspart, human (day 4114, for 27 days); insulin aspart, human (day 4185, for 27 days); insulin aspart, human (day 4256, for 0 days); insulin aspart, human (day 4291, for 48 days); insulin aspart, human (day 4375, for 0 days); insulin aspart, human (day 4409, for 0 days); insulin aspart, human (day 4450, for 0 days); insulin aspart, human (day 4494, for 26 days); insulin aspart, human (day 4553, for 0 days); insulin aspart, human (day 4590, for 0 days); insulin aspart, human (day 4624, for 83 days); insulin aspart, human (day 4750, for 27 days); insulin aspart, human (day 4812, for 0 days); insulin aspart, human (day 4843, for 0 days); insulin aspart, human (day 4884, for 12 days); insulin aspart, human (day 4938, for 0 days); insulin aspart, human (day 4969, for 75 days); insulin aspart, human (day 5079, for 0 days); insulin aspart, human (day 5113, for 0 days); insulin aspart, human (day 5148, for 53 days); insulin aspart, human (day 5241, for 0 days); insulin aspart, human (day 5276, for 58 days); insulin aspart, human (day 5368, for 21 days); insulin aspart, human (day 5449, for 29 days); insulin aspart, human (day 5516, for 0 days); insulin aspart, human (day 5548, for 58 days); insulin aspart, human (day 5647, for 0 days); insulin aspart, human (day 5682, for 57 days); insulin aspart, human (day 5778, for 0 days); insulin aspart, human (day 5815, for 0 days); insulin aspart, human (day 5864, for 0 days); insulin aspart, human (day 5904, for 0 days); insulin aspart, human (day 5940, for 0 days); insulin aspart, human (day 5976, for 0 days); insulin aspart, human (day 6016, for 0 days); insulin aspart, human (day 6052, for 0 days); insulin aspart, human (day 6087, for 0 days); insulin aspart, human (day 6121, for 0 days); insulin aspart, human (day 6165, for 47 days); insulin aspart, human (day 6268, for 0 days); insulin aspart, human (day 6307, for 24 days); insulin aspart, human (day 6382, for 0 days); insulin aspart, human (day 6417, for 28 days); insulin aspart, human (day 6480, for 26 days); insulin aspart, human (day 6548, for 29 days); insulin aspart, human (day 6613, for 0 days); insulin aspart, human (day 6648, for 55 days); insulin aspart, human (day 6739, for 0 days); insulin aspart, human (day 6779, for 0 days); insulin aspart, human (day 6815, for 55 days); insulin aspart, human (day 6905, for 0 days); insulin aspart, human (day 6944, for 0 days); insulin aspart, human (day 6975, for 56 days); insulin aspart, human (day 7066, for 0 days); insulin aspart, human (day 7102, for 139 days); insulin aspart, human (day 7290, for 225 days); insulin aspart, human (day 7571, for 29 days); insulin aspart, human (day 7648, for 156 days); insulin aspart, human (day 7846, for 77 days); insulin aspart, human (day 7983, for 112 days); insulin aspart, human (day 8148, for 0 days); insulin aspart, human (day 8180, for 0 days); insulin aspart, human (day 8214, for 0 days); insulin aspart, human (day 8264, for 52 days); insulin aspart, human (day 8350, for 29 days); insulin aspart, human (day 8410, for 29 days); insulin aspart, human (day 8473, for 44 days); insulin aspart, human (day 8571, for 0 days); insulin aspart, human (day 8606, for 56 days);"/>
    <m/>
    <x v="0"/>
  </r>
  <r>
    <n v="401410971"/>
    <n v="19"/>
    <s v="Female"/>
    <s v="-807 days - 2793 days"/>
    <s v="Office Visit"/>
    <s v="Type 1 diabetes mellitus (EHR);"/>
    <m/>
    <m/>
    <m/>
    <m/>
    <m/>
    <m/>
    <m/>
    <m/>
    <m/>
    <m/>
    <s v="insulin aspart, human (day 35, for 27 days); insulin aspart, human (day 103, for 27 days); insulin aspart, human (day 264, for 78 days); insulin aspart, human (day 414, for 27 days); insulin aspart, human (day 945, for 64 days); insulin aspart, human (day 1041, for 27 days); insulin aspart, human (day 1307, for 72 days); insulin, regular, human (day 1618, for 1 days); insulin, regular, human (day 1664, for 1 days); insulin, regular, human (day 1751, for 1 days); insulin aspart, human (day 1751, for 27 days); insulin, regular, human (day 1799, for 1 days); insulin aspart, human (day 1923, for 27 days); insulin aspart, human (day 2024, for 27 days); insulin, regular, human (day 2024, for 1 days); insulin, regular, human (day 2087, for 1 days); insulin glulisine, human (day 2227, for 6 days); insulin glulisine, human (day 2375, for 6 days); insulin aspart, human (day 2476, for 161 days); insulin, regular, human (day 2498, for 1 days); insulin aspart, human (day 2683, for 110 days); insulin glargine (day 2785, for 0 days);"/>
    <m/>
    <x v="0"/>
  </r>
  <r>
    <n v="461910966"/>
    <n v="31"/>
    <s v="Male"/>
    <s v="-10893 days - 2316 days"/>
    <s v="Office Visit"/>
    <s v="Type 1 diabetes mellitus (EHR);"/>
    <m/>
    <m/>
    <s v="Herpes zoster (day -6191)"/>
    <m/>
    <m/>
    <m/>
    <m/>
    <m/>
    <m/>
    <m/>
    <s v="insulin lispro (day 0, for 0 days); insulin aspart, human (day 52, for 28 days); insulin degludec (day 52, for 28 days); insulin degludec (day 111, for 0 days); insulin aspart, human (day 111, for 0 days); insulin aspart, human (day 181, for 0 days); insulin aspart, human (day 226, for 113 days); insulin degludec (day 226, for 57 days); insulin degludec (day 339, for 0 days); insulin aspart, human (day 409, for 0 days); insulin aspart, human (day 475, for 0 days); insulin degludec (day 517, for 30 days); insulin aspart, human (day 517, for 30 days); insulin aspart, human (day 722, for 0 days); insulin aspart, human (day 778, for 0 days); insulin aspart, human (day 918, for 0 days); insulin aspart, human (day 972, for 0 days); insulin aspart, human (day 1084, for 0 days); insulin degludec (day 1112, for 0 days); insulin degludec (day 1196, for 0 days); insulin aspart, human (day 1196, for 0 days); insulin aspart, human (day 1248, for 0 days); insulin aspart, human (day 1304, for 0 days); insulin degludec (day 1304, for 0 days); insulin degludec (day 1360, for 28 days); insulin aspart, human (day 1360, for 28 days); insulin aspart, human (day 1444, for 0 days); insulin degludec (day 1444, for 0 days); insulin aspart, human (day 1597, for 281 days); insulin degludec (day 1597, for 281 days); insulin aspart, human (day 1931, for 28 days); insulin degludec (day 1931, for 56 days); insulin aspart, human (day 2015, for 80 days); insulin degludec (day 2043, for 52 days); insulin degludec (day 2164, for 58 days); insulin aspart, human (day 2169, for 25 days); insulin aspart, human (day 2247, for 56 days); insulin degludec (day 2274, for 29 days);"/>
    <m/>
    <x v="0"/>
  </r>
  <r>
    <n v="476910620"/>
    <n v="72"/>
    <s v="Female"/>
    <s v="-741 days - 720 days"/>
    <s v="Office Visit"/>
    <s v="Type 1 diabetes mellitus (EHR);"/>
    <m/>
    <m/>
    <m/>
    <s v="insulin, regular, human (day -714, for 304 days); insulin, regular, human (day -374, for 315 days); insulin, regular, human (day -8, for 266 days);"/>
    <m/>
    <m/>
    <m/>
    <m/>
    <s v="Disorder of kidney due to diabetes mellitus (day 252)"/>
    <m/>
    <s v="insulin, regular, human (day 342, for 83 days); insulin, regular, human (day 517, for 27 days); insulin, regular, human (day 608, for 27 days);"/>
    <m/>
    <x v="0"/>
  </r>
  <r>
    <n v="553410900"/>
    <n v="19"/>
    <s v="Male"/>
    <s v="-7096 days - 458 days"/>
    <s v="Office Visit"/>
    <s v="Type 1 diabetes mellitus (EHR);"/>
    <m/>
    <m/>
    <m/>
    <m/>
    <m/>
    <m/>
    <m/>
    <m/>
    <m/>
    <m/>
    <s v="insulin aspart, human (day 5, for 19 days); insulin aspart, human (day 79, for 0 days); insulin aspart, human (day 202, for 0 days); insulin aspart, human (day 240, for 0 days); insulin aspart, human (day 311, for 30 days); insulin aspart, human (day 446, for 0 days);"/>
    <m/>
    <x v="0"/>
  </r>
  <r>
    <n v="679310873"/>
    <n v="13"/>
    <s v="Male"/>
    <s v="-2781 days - 5542 days"/>
    <s v="Office Visit"/>
    <s v="Type 1 diabetes mellitus (EHR);"/>
    <m/>
    <m/>
    <m/>
    <m/>
    <m/>
    <m/>
    <m/>
    <m/>
    <s v="Diabetic ketoacidosis (day 682, 3147); Nonproliferative retinopathy of left eye due to diabetes mellitus (day 4444); Nonproliferative retinopathy of right eye due to diabetes mellitus (day 1603, 4822, 5216)"/>
    <m/>
    <s v="insulin glargine (day 0, for 390 days); insulin aspart, human (day 0, for 390 days); insulin glargine (day 432, for 27 days); insulin aspart, human (day 432, for 27 days); insulin glargine (day 496, for 27 days); insulin aspart, human (day 496, for 236 days); insulin glargine (day 596, for 136 days); insulin glargine (day 784, for 0 days); insulin aspart, human (day 784, for 287 days); insulin glargine (day 826, for 0 days); insulin glargine (day 882, for 0 days); insulin glargine (day 926, for 0 days); insulin glargine (day 960, for 0 days); insulin glargine (day 993, for 51 days); insulin glargine (day 1112, for 0 days); insulin aspart, human (day 1112, for 27 days); insulin glargine (day 1174, for 0 days); insulin aspart, human (day 1174, for 125 days); insulin glargine (day 1223, for 0 days); insulin glargine (day 1272, for 0 days); insulin glargine (day 1426, for 0 days); insulin aspart, human (day 1426, for 84 days); insulin glargine (day 1483, for 0 days); insulin aspart, human (day 1542, for 27 days); insulin glargine (day 1542, for 0 days); insulin glargine (day 1609, for 0 days); insulin aspart, human (day 1609, for 211 days); insulin glargine (day 1665, for 0 days); insulin glargine (day 1708, for 0 days); insulin glargine (day 1749, for 0 days); insulin glargine (day 1793, for 0 days); insulin glargine (day 1878, for 0 days); insulin aspart, human (day 1878, for 27 days); insulin glargine (day 1972, for 0 days); insulin aspart, human (day 2003, for 27 days); insulin glargine (day 2003, for 0 days); insulin glargine (day 2147, for 0 days); insulin aspart, human (day 2147, for 84 days); insulin glargine (day 2204, for 0 days); insulin glargine (day 2266, for 0 days); insulin aspart, human (day 2266, for 181 days); insulin glargine (day 2323, for 0 days); insulin glargine (day 2365, for 0 days); insulin glargine (day 2420, for 0 days); insulin aspart, human (day 2484, for 27 days); insulin glargine (day 2484, for 0 days); insulin glargine (day 2548, for 0 days); insulin aspart, human (day 2548, for 165 days); insulin glargine (day 2603, for 0 days); insulin glargine (day 2653, for 0 days); insulin glargine (day 2686, for 0 days); insulin glargine (day 2750, for 0 days); insulin aspart, human (day 2750, for 258 days); insulin glargine (day 2807, for 0 days); insulin glargine (day 2856, for 0 days); insulin glargine (day 2890, for 0 days); insulin glargine (day 2940, for 0 days); insulin glargine (day 2981, for 0 days); insulin glargine (day 3051, for 0 days); insulin aspart, human (day 3051, for 83 days); insulin glargine (day 3107, for 0 days); insulin glargine (day 3169, for 0 days); insulin aspart, human (day 3169, for 84 days); insulin glargine (day 3226, for 0 days); insulin degludec (day 3305, for 26 days); insulin aspart, human (day 3331, for 27 days); insulin degludec (day 3382, for 0 days); insulin degludec (day 3438, for 0 days); insulin aspart, human (day 3438, for 73 days); insulin degludec (day 3484, for 0 days); insulin degludec (day 3527, for 0 days); insulin degludec (day 3583, for 49 days); insulin aspart, human (day 3583, for 124 days); insulin degludec (day 3680, for 0 days); insulin aspart, human (day 3778, for 76 days); insulin degludec (day 3778, for 49 days); insulin aspart, human (day 3934, for 119 days); insulin degludec (day 3934, for 0 days); insulin degludec (day 3991, for 35 days); insulin degludec (day 4088, for 28 days); insulin aspart, human (day 4088, for 111 days); insulin degludec (day 4172, for 0 days); insulin degludec (day 4235, for 0 days); insulin aspart, human (day 4235, for 27 days); insulin degludec (day 4296, for 0 days); insulin aspart, human (day 4296, for 83 days); insulin degludec (day 4352, for 29 days); insulin degludec (day 4612, for 0 days); insulin aspart, human (day 4612, for 27 days); insulin aspart, human (day 4670, for 27 days); insulin degludec (day 4670, for 0 days); insulin aspart, human (day 4746, for 71 days); insulin degludec (day 4746, for 0 days); insulin degludec (day 4781, for 36 days); insulin degludec (day 4864, for 100 days); insulin aspart, human (day 4864, for 100 days); insulin degludec (day 4998, for 118 days); insulin aspart, human (day 4998, for 118 days); insulin degludec (day 5153, for 0 days); insulin aspart, human (day 5153, for 0 days); insulin degludec (day 5189, for 48 days); insulin aspart, human (day 5189, for 48 days); insulin aspart, human (day 5277, for 59 days); insulin degludec (day 5277, for 59 days); insulin aspart, human (day 5369, for 156 days); insulin degludec (day 5369, for 156 days);"/>
    <m/>
    <x v="0"/>
  </r>
  <r>
    <n v="726310128"/>
    <n v="17"/>
    <s v="Female"/>
    <s v="-2750 days - 3041 days"/>
    <s v="Office Visit"/>
    <s v="Type 1 diabetes mellitus (EHR);"/>
    <m/>
    <m/>
    <m/>
    <m/>
    <m/>
    <m/>
    <m/>
    <m/>
    <s v="Diabetes mellitus (day 2534)"/>
    <m/>
    <s v="insulin aspart, human (day 7, for 0 days); insulin aspart, human (day 41, for 0 days); insulin aspart, human (day 154, for 22 days); insulin aspart, human (day 316, for 0 days); insulin aspart, human (day 479, for 0 days); insulin aspart, human (day 800, for 0 days); insulin aspart, human (day 846, for 0 days); insulin aspart, human (day 1123, for 0 days); insulin aspart, human (day 1178, for 0 days); insulin aspart, human (day 1508, for 0 days); insulin aspart, human (day 1576, for 0 days); insulin aspart, human (day 1646, for 0 days); insulin aspart, human (day 1704, for 0 days); insulin aspart, human (day 1759, for 0 days); insulin aspart, human (day 1826, for 0 days); insulin aspart, human (day 1884, for 0 days); insulin aspart, human (day 1940, for 0 days); insulin aspart, human (day 1989, for 0 days); insulin aspart, human (day 2037, for 0 days); insulin aspart, human (day 2073, for 0 days); insulin aspart, human (day 2192, for 0 days); insulin aspart, human (day 2226, for 0 days); insulin aspart, human (day 2276, for 26 days); insulin aspart, human (day 2387, for 0 days); insulin aspart, human (day 2534, for 22 days); insulin aspart, human (day 2589, for 0 days); insulin aspart, human (day 2661, for 0 days); insulin aspart, human (day 2701, for 0 days); insulin degludec (day 2703, for 0 days); insulin degludec (day 2740, for 0 days); insulin degludec (day 2778, for 0 days); insulin aspart, human (day 2778, for 0 days); insulin degludec (day 2810, for 0 days); insulin aspart, human (day 2810, for 0 days); insulin degludec (day 2856, for 0 days); insulin aspart, human (day 2856, for 0 days); insulin aspart, human (day 2907, for 0 days); insulin degludec (day 2907, for 0 days); insulin aspart, human (day 2963, for 0 days); insulin degludec (day 2963, for 0 days); insulin aspart, human (day 2996, for 0 days); insulin degludec (day 2996, for 0 days);"/>
    <m/>
    <x v="0"/>
  </r>
  <r>
    <n v="740710960"/>
    <n v="12"/>
    <s v="Female"/>
    <s v="-4109 days - 3892 days"/>
    <s v="Office Visit"/>
    <s v="Type 1 diabetes mellitus (EHR);"/>
    <m/>
    <m/>
    <m/>
    <m/>
    <m/>
    <m/>
    <m/>
    <m/>
    <s v="Nonproliferative retinopathy of left eye due to diabetes mellitus (day 1909, 2798, 3771)"/>
    <m/>
    <s v="insulin aspart, human (day 7, for 27 days); insulin glargine (day 64, for 0 days); insulin aspart, human (day 75, for 27 days); insulin glargine (day 103, for 0 days); insulin aspart, human (day 135, for 548 days); insulin glargine (day 467, for 0 days); insulin aspart, human (day 730, for 1375 days); insulin glargine (day 778, for 0 days); insulin glargine (day 881, for 0 days); insulin glargine (day 1153, for 0 days); insulin glargine (day 1289, for 0 days); insulin glargine (day 1514, for 0 days); insulin glargine (day 1881, for 0 days); insulin aspart, human (day 2140, for 80 days); insulin glargine (day 2168, for 0 days); insulin glargine (day 2228, for 0 days); insulin aspart, human (day 2267, for 232 days); insulin aspart, human (day 2561, for 503 days); insulin glargine (day 3050, for 0 days); insulin aspart, human (day 3116, for 99 days); insulin aspart, human (day 3254, for 3 days); insulin aspart, human (day 3305, for 3 days); insulin aspart, human (day 3346, for 3 days); insulin aspart, human (day 3387, for 0 days); insulin aspart, human (day 3424, for 42 days); insulin aspart, human (day 3506, for 18 days); insulin aspart, human (day 3568, for 3 days); insulin aspart, human (day 3611, for 3 days); insulin aspart, human (day 3667, for 39 days); insulin aspart, human (day 3737, for 104 days);"/>
    <m/>
    <x v="0"/>
  </r>
  <r>
    <n v="758210667"/>
    <n v="7"/>
    <s v="Male"/>
    <s v="-2681 days - 483 days"/>
    <s v="Office Visit"/>
    <s v="Type 1 diabetes mellitus (EHR);"/>
    <m/>
    <m/>
    <m/>
    <m/>
    <m/>
    <m/>
    <m/>
    <m/>
    <m/>
    <m/>
    <s v="insulin aspart, human (day 3, for 37 days); insulin aspart, human (day 258, for 27 days); insulin aspart, human (day 344, for 151 days);"/>
    <m/>
    <x v="0"/>
  </r>
  <r>
    <n v="772810288"/>
    <n v="15"/>
    <s v="Male"/>
    <s v="-5181 days - 2942 days"/>
    <s v="Office Visit"/>
    <s v="Type 1 diabetes mellitus (EHR);"/>
    <m/>
    <m/>
    <m/>
    <m/>
    <m/>
    <m/>
    <m/>
    <m/>
    <m/>
    <m/>
    <s v="insulin glargine (day 0, for 0 days); insulin aspart, human (day 0, for 0 days); insulin glargine (day 45, for 0 days); insulin aspart, human (day 45, for 0 days); insulin aspart, human (day 356, for 0 days); insulin aspart, human (day 389, for 0 days); insulin aspart, human (day 430, for 28 days); insulin glargine (day 473, for 0 days); insulin aspart, human (day 502, for 0 days); insulin glargine (day 535, for 0 days); insulin aspart, human (day 535, for 84 days); insulin glargine (day 619, for 0 days); insulin aspart, human (day 658, for 55 days); insulin glargine (day 662, for 0 days); insulin glargine (day 713, for 0 days); insulin aspart, human (day 753, for 0 days); insulin glargine (day 774, for 0 days); insulin aspart, human (day 788, for 78 days); insulin glargine (day 836, for 30 days); insulin glargine (day 903, for 0 days); insulin aspart, human (day 903, for 0 days); insulin aspart, human (day 934, for 67 days); insulin glargine (day 959, for 0 days); insulin glargine (day 998, for 0 days); insulin aspart, human (day 1035, for 0 days); insulin glargine (day 1043, for 0 days); insulin glargine (day 1095, for 0 days); insulin aspart, human (day 1095, for 0 days); insulin aspart, human (day 1127, for 77 days); insulin glargine (day 1148, for 21 days); insulin glargine (day 1235, for 39 days); insulin aspart, human (day 1235, for 63 days); insulin glargine (day 1312, for 66 days); insulin aspart, human (day 1333, for 67 days); insulin aspart, human (day 1431, for 105 days); insulin glargine (day 1431, for 105 days); insulin aspart, human (day 1571, for 35 days); insulin glargine (day 1571, for 35 days); insulin glargine (day 1659, for 0 days); insulin aspart, human (day 1659, for 0 days); insulin aspart, human (day 1697, for 42 days); insulin glargine (day 1697, for 42 days); insulin glargine (day 1782, for 17 days); insulin aspart, human (day 1782, for 17 days); insulin aspart, human (day 1866, for 0 days); insulin glargine (day 1866, for 0 days); insulin glargine (day 1928, for 80 days); insulin aspart, human (day 1928, for 80 days); insulin aspart, human (day 2056, for 20 days); insulin glargine (day 2056, for 20 days); insulin aspart, human (day 2120, for 0 days); insulin glargine (day 2120, for 0 days); insulin aspart, human (day 2183, for 0 days); insulin glargine (day 2183, for 0 days); insulin glargine (day 2264, for 21 days); insulin aspart, human (day 2264, for 21 days); insulin aspart, human (day 2317, for 0 days); insulin glargine (day 2317, for 0 days); insulin glargine (day 2593, for 0 days); insulin aspart, human (day 2593, for 0 days); insulin glargine (day 2667, for 0 days); insulin aspart, human (day 2667, for 0 days); insulin aspart, human (day 2770, for 0 days); insulin aspart, human (day 2806, for 0 days);"/>
    <m/>
    <x v="0"/>
  </r>
  <r>
    <n v="795410971"/>
    <n v="2"/>
    <s v="Female"/>
    <s v="-721 days - 3490 days"/>
    <s v="Office Visit"/>
    <s v="Type 1 diabetes mellitus (EHR);"/>
    <m/>
    <m/>
    <m/>
    <m/>
    <m/>
    <m/>
    <m/>
    <m/>
    <m/>
    <m/>
    <m/>
    <m/>
    <x v="0"/>
  </r>
  <r>
    <n v="826210737"/>
    <n v="3"/>
    <s v="Female"/>
    <s v="-1045 days - 1862 days"/>
    <s v="Office Visit"/>
    <s v="Type 1 diabetes mellitus (EHR);"/>
    <m/>
    <m/>
    <m/>
    <m/>
    <m/>
    <m/>
    <m/>
    <m/>
    <m/>
    <m/>
    <s v="insulin, regular, human (day 53, for 2 days); insulin aspart, human (day 83, for 27 days); insulin aspart, human (day 173, for 27 days); insulin, regular, human (day 246, for 2 days); insulin aspart, human (day 361, for 0 days); insulin aspart, human (day 445, for 0 days); insulin aspart, human (day 481, for 0 days); insulin aspart, human (day 552, for 27 days); insulin aspart, human (day 624, for 27 days); insulin aspart, human (day 713, for 0 days); insulin aspart, human (day 795, for 97 days); insulin aspart, human (day 931, for 75 days); insulin aspart, human (day 1055, for 76 days); insulin aspart, human (day 1182, for 278 days); insulin aspart, human (day 1496, for 229 days); insulin aspart, human (day 1768, for 65 days);"/>
    <m/>
    <x v="0"/>
  </r>
  <r>
    <n v="831210567"/>
    <n v="40"/>
    <s v="Male"/>
    <s v="-373 days - 6403 days"/>
    <s v="Office Visit"/>
    <s v="Type 1 diabetes mellitus (EHR);"/>
    <m/>
    <m/>
    <m/>
    <m/>
    <m/>
    <m/>
    <m/>
    <m/>
    <s v="Diabetes mellitus (day 4032); Persistent proteinuria due to type 1 diabetes mellitus (day 2844); Type 1 diabetes mellitus (day 2102)"/>
    <m/>
    <s v="insulin, regular, human (day 1076, for 31 days); insulin, regular, human (day 1174, for 27 days); insulin, regular, human (day 1286, for 27 days); insulin, regular, human (day 1364, for 27 days); insulin, regular, human (day 1463, for 27 days); insulin, regular, human (day 1538, for 76 days); insulin, regular, human (day 1692, for 27 days); insulin, regular, human (day 1804, for 27 days); insulin, regular, human (day 1910, for 27 days); insulin, regular, human (day 1997, for 27 days); insulin, regular, human (day 2101, for 27 days); insulin, regular, human (day 2191, for 27 days); insulin, regular, human (day 2252, for 27 days); insulin, regular, human (day 2346, for 27 days); insulin, regular, human (day 2416, for 27 days); insulin aspart, human (day 2427, for 79 days); insulin aspart, human (day 2547, for 27 days); insulin aspart, human (day 2616, for 27 days); insulin aspart, human (day 2679, for 76 days); insulin aspart, human (day 2799, for 27 days); insulin aspart, human (day 2868, for 27 days); insulin aspart, human (day 2926, for 27 days); insulin aspart, human (day 2991, for 27 days); insulin aspart, human (day 3054, for 27 days); insulin aspart, human (day 3114, for 78 days); insulin aspart, human (day 3290, for 83 days); insulin aspart, human (day 3411, for 79 days); insulin aspart, human (day 3530, for 27 days); insulin aspart, human (day 3596, for 27 days); insulin aspart, human (day 3654, for 27 days); insulin aspart, human (day 3719, for 27 days); insulin aspart, human (day 3778, for 27 days); insulin aspart, human (day 3837, for 27 days); insulin aspart, human (day 3906, for 27 days); insulin aspart, human (day 3968, for 27 days); insulin aspart, human (day 4030, for 84 days); insulin aspart, human (day 4149, for 27 days); insulin aspart, human (day 4208, for 27 days); insulin aspart, human (day 4268, for 127 days); insulin aspart, human (day 4437, for 27 days); insulin aspart, human (day 4555, for 27 days); insulin aspart, human (day 4622, for 27 days); insulin aspart, human (day 4689, for 27 days); insulin aspart, human (day 4760, for 27 days); insulin aspart, human (day 4842, for 27 days); insulin aspart, human (day 4907, for 27 days); insulin aspart, human (day 4977, for 27 days); insulin aspart, human (day 5063, for 27 days); insulin aspart, human (day 5143, for 27 days); insulin aspart, human (day 5213, for 27 days); insulin aspart, human (day 5279, for 27 days); insulin aspart, human (day 5361, for 27 days); insulin aspart, human (day 5434, for 27 days); insulin aspart, human (day 5494, for 27 days); insulin aspart, human (day 5585, for 27 days); insulin aspart, human (day 5683, for 27 days); insulin aspart, human (day 5741, for 84 days); insulin aspart, human (day 5892, for 27 days); insulin aspart, human (day 5971, for 83 days); insulin aspart, human (day 6109, for 27 days); insulin aspart, human (day 6189, for 82 days); insulin aspart, human (day 6314, for 83 days);"/>
    <m/>
    <x v="0"/>
  </r>
  <r>
    <n v="878310732"/>
    <n v="31"/>
    <s v="Female"/>
    <s v="-862 days - 447 days"/>
    <s v="Office Visit"/>
    <s v="Type 1 diabetes mellitus (EHR);"/>
    <m/>
    <m/>
    <m/>
    <m/>
    <m/>
    <m/>
    <m/>
    <m/>
    <m/>
    <m/>
    <m/>
    <m/>
    <x v="0"/>
  </r>
  <r>
    <n v="880910162"/>
    <n v="28"/>
    <s v="Male"/>
    <s v="-3867 days - 3532 days"/>
    <s v="Office Visit"/>
    <s v="Type 1 diabetes mellitus (EHR);"/>
    <m/>
    <m/>
    <m/>
    <m/>
    <m/>
    <m/>
    <m/>
    <m/>
    <m/>
    <m/>
    <s v="insulin aspart, human (day 18, for 0 days); insulin glargine (day 18, for 27 days); insulin glargine (day 101, for 61 days); insulin aspart, human (day 101, for 0 days); insulin aspart, human (day 135, for 0 days); insulin glargine (day 226, for 27 days); insulin glargine (day 291, for 27 days); insulin aspart, human (day 291, for 0 days); insulin aspart, human (day 443, for 0 days); insulin glargine (day 472, for 27 days); insulin aspart, human (day 603, for 0 days); insulin glargine (day 632, for 27 days); insulin glargine (day 735, for 27 days); insulin aspart, human (day 735, for 0 days); insulin aspart, human (day 822, for 0 days); insulin glargine (day 822, for 27 days); insulin glargine (day 925, for 27 days); insulin aspart, human (day 925, for 0 days); insulin aspart, human (day 1017, for 0 days); insulin glargine (day 1017, for 27 days); insulin aspart, human (day 1100, for 0 days); insulin glargine (day 1100, for 27 days); insulin glargine (day 1173, for 27 days); insulin aspart, human (day 1173, for 0 days); insulin aspart, human (day 1246, for 18 days); insulin glargine (day 1246, for 45 days); insulin aspart, human (day 1402, for 0 days); insulin glargine (day 1402, for 27 days); insulin glargine (day 1473, for 27 days); insulin aspart, human (day 1473, for 0 days); insulin aspart, human (day 1537, for 0 days); insulin glargine (day 1556, for 127 days); insulin aspart, human (day 1584, for 0 days); insulin aspart, human (day 1656, for 0 days); insulin aspart, human (day 1753, for 0 days); insulin glargine (day 1753, for 27 days); insulin glargine (day 1821, for 0 days); insulin aspart, human (day 1821, for 0 days); insulin glargine (day 1884, for 0 days); insulin aspart, human (day 1928, for 0 days); insulin glargine (day 1963, for 0 days); insulin aspart, human (day 2003, for 0 days); insulin aspart, human (day 2083, for 0 days); insulin glargine (day 2102, for 14 days); insulin aspart, human (day 2171, for 0 days); insulin glargine (day 2247, for 0 days); insulin aspart, human (day 2256, for 0 days); insulin aspart, human (day 2306, for 0 days); insulin glargine (day 2327, for 0 days); insulin aspart, human (day 2390, for 0 days); insulin glargine (day 2390, for 0 days); insulin glargine (day 2464, for 0 days); insulin aspart, human (day 2528, for 0 days); insulin glargine (day 2528, for 0 days); insulin aspart, human (day 2601, for 0 days); insulin glargine (day 2601, for 0 days); insulin glargine (day 2643, for 0 days); insulin aspart, human (day 2643, for 0 days); insulin glargine (day 2733, for 0 days); insulin aspart, human (day 2758, for 0 days); insulin glargine (day 2804, for 0 days); insulin aspart, human (day 2829, for 0 days); insulin glargine (day 2859, for 0 days); insulin aspart, human (day 2886, for 0 days); insulin aspart, human (day 2941, for 0 days); insulin glargine (day 2941, for 0 days); insulin aspart, human (day 3006, for 0 days); insulin glargine (day 3006, for 0 days); insulin glargine (day 3067, for 0 days); insulin aspart, human (day 3090, for 0 days); insulin glargine (day 3144, for 0 days); insulin aspart, human (day 3159, for 0 days); insulin aspart, human (day 3208, for 0 days); insulin glargine (day 3208, for 0 days); insulin glargine (day 3283, for 0 days); insulin aspart, human (day 3306, for 0 days); insulin glargine (day 3347, for 0 days); insulin aspart, human (day 3377, for 0 days); insulin glargine (day 3424, for 0 days); insulin aspart, human (day 3444, for 0 days); insulin glargine (day 3483, for 0 days); insulin aspart, human (day 3515, for 0 days);"/>
    <m/>
    <x v="0"/>
  </r>
  <r>
    <n v="888710791"/>
    <n v="12"/>
    <s v="Female"/>
    <s v="-4300 days - 2667 days"/>
    <s v="Office Visit"/>
    <s v="Type 1 diabetes mellitus (EHR);"/>
    <m/>
    <m/>
    <m/>
    <m/>
    <m/>
    <m/>
    <m/>
    <m/>
    <m/>
    <m/>
    <s v="insulin aspart, human (day 2, for 27 days); insulin aspart, human (day 61, for 815 days); insulin aspart, human (day 929, for 1742 days);"/>
    <m/>
    <x v="0"/>
  </r>
  <r>
    <n v="932610840"/>
    <n v="13"/>
    <s v="Female"/>
    <s v="-2926 days - 3431 days"/>
    <s v="Office Visit"/>
    <s v="Type 1 diabetes mellitus (EHR);"/>
    <s v="Autoimmune hepatitis (day -61)"/>
    <m/>
    <s v="Steroid-induced diabetes (day -64)"/>
    <m/>
    <m/>
    <m/>
    <m/>
    <m/>
    <m/>
    <m/>
    <s v="insulin aspart, human (day 0, for 27 days);"/>
    <m/>
    <x v="0"/>
  </r>
  <r>
    <n v="954410764"/>
    <n v="19"/>
    <s v="Female"/>
    <s v="-3400 days - 4459 days"/>
    <s v="Office Visit"/>
    <s v="Type 1 diabetes mellitus (EHR);"/>
    <m/>
    <m/>
    <m/>
    <m/>
    <m/>
    <m/>
    <m/>
    <m/>
    <m/>
    <m/>
    <s v="insulin aspart, human (day 0, for 37 days); insulin aspart, human (day 70, for 14 days); insulin aspart, human (day 128, for 21 days); insulin aspart, human (day 181, for 0 days); insulin aspart, human (day 213, for 0 days); insulin aspart, human (day 269, for 0 days); insulin aspart, human (day 321, for 0 days); insulin aspart, human (day 359, for 15 days); insulin aspart, human (day 666, for 0 days); insulin aspart, human (day 700, for 0 days); insulin aspart, human (day 860, for 0 days); insulin aspart, human (day 969, for 28 days); insulin aspart, human (day 1154, for 29 days); insulin aspart, human (day 1505, for 29 days); insulin aspart, human (day 1711, for 29 days); insulin aspart, human (day 1948, for 29 days); insulin aspart, human (day 2142, for 29 days); insulin aspart, human (day 2354, for 29 days); insulin aspart, human (day 2597, for 29 days); insulin glargine (day 2676, for 47 days); insulin glargine (day 2794, for 0 days); insulin glargine (day 2841, for 23 days); insulin aspart, human (day 2841, for 29 days); insulin glargine (day 2898, for 49 days); insulin glargine (day 2998, for 0 days); insulin aspart, human (day 2998, for 29 days); insulin aspart, human (day 3069, for 29 days); insulin glargine (day 3069, for 0 days); insulin glargine (day 3142, for 30 days); insulin glargine (day 3205, for 0 days); insulin glargine (day 3237, for 20 days); insulin glargine (day 3292, for 0 days); insulin glargine (day 3332, for 2 days); insulin glargine (day 3373, for 2 days); insulin aspart, human (day 3373, for 29 days); insulin glargine (day 3447, for 2 days); insulin glargine (day 3500, for 2 days); insulin glargine (day 3549, for 2 days); insulin aspart, human (day 3550, for 29 days); insulin glargine (day 3625, for 2 days); insulin glargine (day 3705, for 2 days); insulin glargine (day 3767, for 2 days); insulin glargine (day 3807, for 31 days); insulin aspart, human (day 3844, for 89 days); insulin glargine (day 3870, for 4 days); insulin aspart, human (day 4020, for 3 days); insulin aspart, human (day 4055, for 3 days); insulin aspart, human (day 4130, for 3 days); insulin aspart, human (day 4202, for 3 days); insulin aspart, human (day 4249, for 3 days); insulin aspart, human (day 4284, for 3 days); insulin aspart, human (day 4321, for 3 days); insulin aspart, human (day 4392, for 3 days);"/>
    <m/>
    <x v="0"/>
  </r>
  <r>
    <n v="959010761"/>
    <n v="9"/>
    <s v="Female"/>
    <s v="-3233 days - 5447 days"/>
    <s v="Office Visit"/>
    <s v="Type 1 diabetes mellitus (EHR);"/>
    <m/>
    <m/>
    <m/>
    <m/>
    <m/>
    <m/>
    <m/>
    <m/>
    <s v="Depressive disorder (day 3611); Ketoacidosis due to type 1 diabetes mellitus (day 3149); Nonproliferative retinopathy of left eye due to diabetes mellitus (day 1262, 1968, 4751, 4852); Nonproliferative retinopathy of right eye due to diabetes mellitus (day 4299, 4751, 4852)"/>
    <m/>
    <s v="insulin, regular, human (day 5, for 97 days); insulin aspart, human (day 5, for 0 days); insulin aspart, human (day 93, for 27 days); insulin, regular, human (day 258, for 27 days); insulin aspart, human (day 258, for 37 days); insulin, regular, human (day 322, for 27 days); insulin aspart, human (day 364, for 61 days); insulin, regular, human (day 422, for 81 days); insulin aspart, human (day 511, for 27 days); insulin, regular, human (day 580, for 27 days); insulin aspart, human (day 692, for 112 days); insulin, regular, human (day 692, for 27 days); insulin, regular, human (day 777, for 27 days); insulin, regular, human (day 841, for 27 days); insulin aspart, human (day 841, for 27 days); insulin, regular, human (day 936, for 27 days); insulin aspart, human (day 936, for 27 days); insulin glargine (day 961, for 27 days); insulin aspart, human (day 999, for 491 days); insulin glargine (day 1062, for 27 days); insulin glargine (day 1155, for 27 days); insulin glargine (day 1213, for 129 days); insulin glargine (day 1406, for 84 days); insulin aspart, human (day 1574, for 97 days); insulin glargine (day 1574, for 27 days); insulin glargine (day 1644, for 27 days); insulin aspart, human (day 1707, for 113 days); insulin glargine (day 1707, for 113 days); insulin glargine (day 1888, for 65 days); insulin aspart, human (day 1888, for 87 days); insulin aspart, human (day 2037, for 27 days); insulin aspart, human (day 2123, for 79 days); insulin aspart, human (day 2240, for 55 days); insulin aspart, human (day 2351, for 464 days); insulin aspart, human (day 2861, for 26 days); insulin aspart, human (day 2925, for 3 days); insulin aspart, human (day 2968, for 194 days); insulin aspart, human (day 3197, for 3 days); insulin aspart, human (day 3240, for 3 days); insulin aspart, human (day 3281, for 3 days); insulin aspart, human (day 3324, for 3 days); insulin aspart, human (day 3369, for 36 days); insulin aspart, human (day 3457, for 157 days); insulin aspart, human (day 3654, for 3 days); insulin aspart, human (day 3702, for 47 days); insulin aspart, human (day 3838, for 3 days); insulin aspart, human (day 3912, for 27 days); insulin aspart, human (day 3974, for 3 days); insulin aspart, human (day 4032, for 86 days); insulin aspart, human (day 4160, for 3 days); insulin aspart, human (day 4200, for 3 days); insulin aspart, human (day 4283, for 3 days); insulin aspart, human (day 4356, for 3 days); insulin aspart, human (day 4422, for 52 days); insulin aspart, human (day 4528, for 3 days); insulin aspart, human (day 4564, for 3 days); insulin aspart, human (day 4613, for 3 days); insulin aspart, human (day 4669, for 3 days); insulin aspart, human (day 4724, for 3 days); insulin aspart, human (day 4760, for 3 days); insulin aspart, human (day 4802, for 66 days); insulin aspart, human (day 4986, for 3 days); insulin aspart, human (day 5041, for 3 days); insulin aspart, human (day 5091, for 51 days); insulin aspart, human (day 5203, for 57 days); insulin aspart, human (day 5305, for 110 days);"/>
    <m/>
    <x v="0"/>
  </r>
  <r>
    <n v="1026210195"/>
    <n v="37"/>
    <s v="Male"/>
    <s v="-7836 days - 2083 days"/>
    <s v="Office Visit"/>
    <s v="Type 1 diabetes mellitus (EHR);"/>
    <m/>
    <m/>
    <m/>
    <m/>
    <m/>
    <m/>
    <m/>
    <m/>
    <s v="Depressive disorder (day 2022); Diabetes mellitus (day 1225); Nonproliferative retinopathy of left eye due to diabetes mellitus (day 1685)"/>
    <m/>
    <s v="insulin lispro (day 1, for 27 days); insulin lispro (day 82, for 27 days); insulin lispro (day 153, for 27 days); insulin lispro (day 251, for 27 days); insulin lispro (day 356, for 27 days); insulin lispro (day 441, for 27 days); insulin lispro (day 585, for 27 days); insulin lispro (day 694, for 139 days); insulin lispro (day 876, for 27 days); insulin lispro (day 944, for 27 days); insulin glargine (day 985, for 117 days); insulin lispro (day 1002, for 275 days); insulin glargine (day 1145, for 27 days); insulin glargine (day 1219, for 58 days); insulin lispro (day 1308, for 182 days); insulin glargine (day 1392, for 0 days); insulin glargine (day 1441, for 22 days); insulin lispro (day 1524, for 565 days); insulin glargine (day 1524, for 28 days); insulin glargine (day 1636, for 0 days); insulin glargine (day 1709, for 0 days); insulin glargine (day 1748, for 23 days); metformin (day 1834, for 136 days); insulin glargine (day 1853, for 0 days); insulin glargine (day 1909, for 0 days); insulin glargine (day 1943, for 0 days); metformin (day 2022, for 67 days); insulin glargine (day 2034, for 0 days);"/>
    <m/>
    <x v="0"/>
  </r>
  <r>
    <n v="1084310679"/>
    <n v="14"/>
    <s v="Male"/>
    <s v="-3543 days - 3451 days"/>
    <s v="Office Visit"/>
    <s v="Type 1 diabetes mellitus (EHR);"/>
    <m/>
    <m/>
    <m/>
    <m/>
    <m/>
    <m/>
    <m/>
    <m/>
    <m/>
    <m/>
    <s v="insulin aspart, human (day 13, for 3428 days);"/>
    <m/>
    <x v="0"/>
  </r>
  <r>
    <n v="1086910999"/>
    <n v="27"/>
    <s v="Male"/>
    <s v="-6397 days - 478 days"/>
    <s v="Office Visit"/>
    <s v="Type 1 diabetes mellitus (EHR);"/>
    <m/>
    <m/>
    <m/>
    <m/>
    <m/>
    <m/>
    <m/>
    <m/>
    <m/>
    <m/>
    <s v="insulin degludec (day 7, for 20 days); insulin aspart, human (day 7, for 20 days); insulin degludec (day 96, for 0 days); insulin aspart, human (day 96, for 0 days); insulin aspart, human (day 166, for 30 days); insulin degludec (day 195, for 0 days); insulin aspart, human (day 232, for 8 days); insulin degludec (day 232, for 8 days); insulin degludec (day 271, for 0 days); insulin aspart, human (day 271, for 94 days); insulin degludec (day 327, for 0 days);"/>
    <m/>
    <x v="0"/>
  </r>
  <r>
    <n v="1112310707"/>
    <n v="17"/>
    <s v="Male"/>
    <s v="-2965 days - 2738 days"/>
    <s v="Office Visit"/>
    <s v="Type 1 diabetes mellitus (EHR);"/>
    <m/>
    <m/>
    <m/>
    <m/>
    <m/>
    <m/>
    <m/>
    <m/>
    <s v="Mixed anxiety and depressive disorder (day 1530); Type 1 diabetes mellitus (day 637)"/>
    <m/>
    <s v="insulin glargine (day 7, for 0 days); insulin aspart, human (day 7, for 0 days); insulin glargine (day 107, for 0 days); insulin aspart, human (day 179, for 27 days); insulin glargine (day 266, for 0 days); insulin glargine (day 371, for 0 days); insulin glargine (day 428, for 0 days); insulin aspart, human (day 428, for 83 days); insulin glargine (day 548, for 0 days); insulin glargine (day 675, for 27 days); insulin aspart, human (day 753, for 66 days); insulin glargine (day 753, for 0 days); insulin glargine (day 792, for 0 days); insulin glargine (day 855, for 0 days); insulin aspart, human (day 855, for 27 days); insulin glargine (day 918, for 0 days); insulin aspart, human (day 963, for 82 days); insulin glargine (day 988, for 30 days); insulin glargine (day 1141, for 0 days); insulin glargine (day 1207, for 0 days); insulin glargine (day 1239, for 0 days); insulin aspart, human (day 1239, for 83 days); insulin glargine (day 1295, for 0 days); insulin glargine (day 1354, for 0 days); insulin aspart, human (day 1354, for 118 days); insulin glargine (day 1404, for 0 days); insulin glargine (day 1445, for 0 days); insulin glargine (day 1488, for 0 days); insulin aspart, human (day 1530, for 298 days); insulin glargine (day 1530, for 0 days); insulin glargine (day 1591, for 0 days); insulin glargine (day 1628, for 0 days); insulin glargine (day 1680, for 22 days); insulin glargine (day 1743, for 51 days); insulin glargine (day 1828, for 0 days); insulin aspart, human (day 1876, for 0 days); insulin glargine (day 1876, for 0 days); insulin aspart, human (day 1926, for 0 days); insulin glargine (day 1926, for 0 days); insulin aspart, human (day 1962, for 0 days); insulin glargine (day 1962, for 0 days); insulin aspart, human (day 2011, for 23 days); insulin glargine (day 2011, for 21 days); insulin aspart, human (day 2074, for 28 days); insulin glargine (day 2074, for 28 days); insulin glargine (day 2139, for 0 days); insulin aspart, human (day 2139, for 0 days); insulin glargine (day 2171, for 0 days); insulin aspart, human (day 2171, for 0 days); insulin glargine (day 2202, for 0 days); insulin glargine (day 2233, for 1 days); insulin glargine (day 2276, for 112 days); insulin aspart, human (day 2276, for 57 days); insulin aspart, human (day 2387, for 0 days); insulin aspart, human (day 2424, for 0 days); insulin glargine (day 2424, for 0 days); insulin glargine (day 2465, for 0 days); insulin aspart, human (day 2465, for 0 days); insulin aspart, human (day 2507, for 0 days); insulin glargine (day 2507, for 0 days); insulin glargine (day 2545, for 0 days); insulin aspart, human (day 2545, for 0 days); insulin aspart, human (day 2576, for 29 days); insulin glargine (day 2576, for 7 days);"/>
    <m/>
    <x v="0"/>
  </r>
  <r>
    <n v="1146710626"/>
    <n v="9"/>
    <s v="Male"/>
    <s v="-1111 days - 1403 days"/>
    <s v="Office Visit"/>
    <s v="Type 1 diabetes mellitus (EHR);"/>
    <m/>
    <m/>
    <m/>
    <m/>
    <m/>
    <m/>
    <m/>
    <m/>
    <m/>
    <m/>
    <s v="insulin aspart, human (day 6, for 132 days); insulin aspart, human (day 189, for 663 days); insulin aspart, human (day 1071, for 169 days);"/>
    <m/>
    <x v="0"/>
  </r>
  <r>
    <n v="1244410740"/>
    <n v="12"/>
    <s v="Female"/>
    <s v="-942 days - 128 days"/>
    <s v="Office Visit"/>
    <s v="Type 1 diabetes mellitus (EHR);"/>
    <m/>
    <m/>
    <m/>
    <m/>
    <m/>
    <m/>
    <m/>
    <m/>
    <m/>
    <m/>
    <s v="insulin aspart, human (day 2, for 104 days);"/>
    <m/>
    <x v="0"/>
  </r>
  <r>
    <n v="1292410740"/>
    <n v="29"/>
    <s v="Male"/>
    <s v="-491 days - 383 days"/>
    <s v="Office Visit"/>
    <s v="Type 1 diabetes mellitus (EHR);"/>
    <m/>
    <m/>
    <m/>
    <m/>
    <m/>
    <m/>
    <m/>
    <m/>
    <s v="Nonproliferative retinopathy of left eye due to diabetes mellitus (day 56); Type 1 diabetes mellitus (day 80)"/>
    <m/>
    <s v="insulin aspart, human (day 55, for 27 days); insulin degludec (day 55, for 27 days); insulin aspart, human (day 160, for 0 days); insulin degludec (day 166, for 42 days); insulin aspart, human (day 195, for 13 days); insulin aspart, human (day 308, for 21 days); insulin aspart, human (day 362, for 8 days); insulin degludec (day 367, for 3 days);"/>
    <m/>
    <x v="0"/>
  </r>
  <r>
    <n v="1344710011"/>
    <n v="4"/>
    <s v="Female"/>
    <s v="-1342 days - 228 days"/>
    <s v="Office Visit"/>
    <s v="Type 1 diabetes mellitus (EHR);"/>
    <m/>
    <m/>
    <m/>
    <m/>
    <m/>
    <m/>
    <m/>
    <m/>
    <s v="Ketoacidosis due to type 1 diabetes mellitus (day 32)"/>
    <m/>
    <s v="insulin aspart, human (day 0, for 231 days);"/>
    <m/>
    <x v="0"/>
  </r>
  <r>
    <n v="1419010939"/>
    <n v="16"/>
    <s v="Female"/>
    <s v="-6083 days - 2955 days"/>
    <s v="Office Visit"/>
    <s v="Type 1 diabetes mellitus (EHR);"/>
    <m/>
    <s v="Tired all the time (day -29)"/>
    <m/>
    <m/>
    <m/>
    <m/>
    <m/>
    <m/>
    <m/>
    <m/>
    <s v="insulin aspart, human (day 45, for 4 days); insulin glargine (day 90, for 14 days); insulin aspart, human (day 104, for 4 days); insulin aspart, human (day 142, for 32 days); insulin aspart, human (day 213, for 14 days); insulin glargine (day 223, for 16 days); insulin aspart, human (day 266, for 1 days); insulin aspart, human (day 307, for 1 days); insulin glargine (day 380, for 0 days); insulin aspart, human (day 405, for 1 days); insulin glargine (day 426, for 0 days); insulin aspart, human (day 454, for 1 days); insulin aspart, human (day 493, for 1 days); insulin glargine (day 493, for 0 days); insulin aspart, human (day 535, for 1 days); insulin glargine (day 580, for 0 days); insulin aspart, human (day 588, for 52 days); insulin glargine (day 650, for 0 days); insulin aspart, human (day 672, for 0 days); insulin glargine (day 707, for 0 days); insulin aspart, human (day 763, for 0 days); insulin glargine (day 804, for 0 days); insulin aspart, human (day 833, for 727 days); insulin glargine (day 1532, for 0 days); insulin aspart, human (day 1612, for 500 days); insulin glargine (day 2071, for 0 days); insulin aspart, human (day 2144, for 27 days); insulin aspart, human (day 2255, for 27 days); insulin aspart, human (day 2325, for 56 days); insulin aspart, human (day 2414, for 27 days); insulin aspart, human (day 2507, for 215 days); insulin aspart, human (day 2764, for 27 days); insulin aspart, human (day 2830, for 40 days); insulin glargine (day 2838, for 0 days); insulin aspart, human (day 2904, for 63 days);"/>
    <m/>
    <x v="0"/>
  </r>
  <r>
    <n v="1591110113"/>
    <n v="3"/>
    <s v="Female"/>
    <s v="-1197 days - 451 days"/>
    <s v="Office Visit"/>
    <s v="Type 1 diabetes mellitus (EHR);"/>
    <m/>
    <m/>
    <m/>
    <m/>
    <m/>
    <m/>
    <m/>
    <m/>
    <m/>
    <m/>
    <s v="insulin aspart, human (day 31, for 125 days); insulin aspart, human (day 213, for 27 days); insulin aspart, human (day 283, for 65 days); insulin aspart, human (day 388, for 27 days);"/>
    <m/>
    <x v="0"/>
  </r>
  <r>
    <n v="1654310321"/>
    <n v="15"/>
    <s v="Male"/>
    <s v="-2530 days - 2397 days"/>
    <s v="Office Visit"/>
    <s v="Type 1 diabetes mellitus (EHR);"/>
    <m/>
    <m/>
    <m/>
    <m/>
    <m/>
    <m/>
    <m/>
    <m/>
    <s v="Depressive disorder (day 1716); Diabetes mellitus (day 2131); Type 1 diabetes mellitus (day 1543, 1635, 2131)"/>
    <m/>
    <s v="insulin aspart, human (day 3, for 0 days); insulin glargine (day 3, for 0 days); insulin glargine (day 38, for 0 days); insulin aspart, human (day 38, for 0 days); insulin aspart, human (day 92, for 0 days); insulin glargine (day 130, for 0 days); insulin aspart, human (day 296, for 98 days); insulin glargine (day 339, for 49 days); insulin aspart, human (day 469, for 0 days); insulin aspart, human (day 505, for 24 days); insulin glargine (day 596, for 0 days); insulin aspart, human (day 665, for 0 days); insulin glargine (day 666, for 0 days); insulin aspart, human (day 738, for 0 days); insulin glargine (day 738, for 0 days); insulin aspart, human (day 869, for 0 days); insulin glargine (day 1569, for 0 days); insulin aspart, human (day 1569, for 0 days); insulin glargine (day 2016, for 0 days); insulin aspart, human (day 2016, for 0 days);"/>
    <m/>
    <x v="0"/>
  </r>
  <r>
    <n v="1697510114"/>
    <n v="10"/>
    <s v="Male"/>
    <s v="-3063 days - 80 days"/>
    <s v="Office Visit"/>
    <s v="Type 1 diabetes mellitus (EHR);"/>
    <m/>
    <m/>
    <m/>
    <m/>
    <m/>
    <m/>
    <m/>
    <m/>
    <m/>
    <m/>
    <s v="insulin aspart, human (day 32, for 27 days);"/>
    <m/>
    <x v="0"/>
  </r>
  <r>
    <n v="1721910713"/>
    <n v="12"/>
    <s v="Female"/>
    <s v="-2714 days - 871 days"/>
    <s v="Office Visit"/>
    <s v="Type 1 diabetes mellitus (EHR);"/>
    <m/>
    <m/>
    <m/>
    <m/>
    <m/>
    <m/>
    <m/>
    <m/>
    <s v="Diabetes mellitus (day 445, 845)"/>
    <m/>
    <s v="insulin aspart, human (day 445, for 4 days); insulin glargine (day 445, for 0 days); insulin aspart, human (day 745, for 38 days); insulin glargine (day 779, for 0 days);"/>
    <m/>
    <x v="0"/>
  </r>
  <r>
    <n v="1833510766"/>
    <n v="4"/>
    <s v="Female"/>
    <s v="-1405 days - 5656 days"/>
    <s v="Office Visit"/>
    <s v="Type 1 diabetes mellitus (EHR);"/>
    <m/>
    <m/>
    <m/>
    <m/>
    <m/>
    <m/>
    <m/>
    <m/>
    <s v="Ketoacidosis due to type 1 diabetes mellitus (day 4718)"/>
    <m/>
    <s v="insulin, regular, human (day 2, for 28 days); insulin lispro (day 58, for 27 days); insulin, regular, human (day 75, for 27 days); insulin, regular, human (day 191, for 133 days); insulin lispro (day 303, for 27 days); insulin glargine (day 362, for 0 days); insulin lispro (day 388, for 27 days); insulin aspart, human (day 423, for 0 days); insulin aspart, human (day 456, for 1582 days); insulin lispro (day 542, for 27 days); insulin glargine (day 542, for 0 days); insulin glargine (day 905, for 0 days); insulin lispro (day 905, for 65 days); insulin lispro (day 1115, for 27 days); insulin lispro (day 1186, for 27 days); insulin glargine (day 1376, for 27 days); insulin lispro (day 1376, for 53 days); insulin aspart, human (day 2087, for 1248 days); insulin lispro (day 2546, for 27 days); insulin glargine (day 2546, for 27 days); insulin glargine (day 3035, for 27 days); insulin lispro (day 3035, for 27 days); insulin aspart, human (day 3400, for 0 days); insulin lispro (day 3400, for 27 days); insulin aspart, human (day 3448, for 0 days); insulin aspart, human (day 3516, for 0 days); insulin aspart, human (day 3557, for 0 days); insulin aspart, human (day 3636, for 29 days); insulin glargine (day 3665, for 27 days); insulin lispro (day 3665, for 27 days); insulin aspart, human (day 3742, for 0 days); insulin aspart, human (day 3792, for 25 days); insulin aspart, human (day 3888, for 0 days); insulin aspart, human (day 3972, for 0 days); insulin aspart, human (day 4113, for 0 days); insulin aspart, human (day 4166, for 0 days); insulin aspart, human (day 4257, for 0 days); insulin aspart, human (day 4300, for 0 days); insulin aspart, human (day 4363, for 0 days); insulin aspart, human (day 4432, for 0 days); insulin aspart, human (day 4490, for 0 days); insulin aspart, human (day 4595, for 0 days); insulin aspart, human (day 4642, for 0 days); insulin aspart, human (day 4679, for 0 days); insulin aspart, human (day 4741, for 0 days); insulin aspart, human (day 4792, for 0 days); insulin aspart, human (day 4826, for 0 days); insulin aspart, human (day 4868, for 0 days); insulin aspart, human (day 4911, for 0 days); insulin aspart, human (day 4986, for 0 days); insulin aspart, human (day 5079, for 0 days); insulin aspart, human (day 5167, for 0 days); insulin aspart, human (day 5261, for 0 days); insulin glargine (day 5294, for 0 days); insulin aspart, human (day 5294, for 2 days); insulin aspart, human (day 5384, for 23 days); insulin aspart, human (day 5482, for 0 days); insulin aspart, human (day 5561, for 0 days); insulin aspart, human (day 5622, for 0 days);"/>
    <m/>
    <x v="0"/>
  </r>
  <r>
    <n v="1837010125"/>
    <n v="12"/>
    <s v="Female"/>
    <s v="-4588 days - 2179 days"/>
    <s v="Office Visit"/>
    <s v="Type 1 diabetes mellitus (EHR);"/>
    <m/>
    <m/>
    <m/>
    <m/>
    <m/>
    <m/>
    <m/>
    <m/>
    <s v="Type 1 diabetes mellitus (day 1644)"/>
    <m/>
    <s v="insulin aspart, human (day 0, for 83 days); insulin aspart, human (day 119, for 27 days); insulin aspart, human (day 202, for 27 days); insulin aspart, human (day 525, for 73 days); insulin aspart, human (day 1166, for 27 days); insulin aspart, human (day 1533, for 27 days); insulin aspart, human (day 2149, for 27 days);"/>
    <m/>
    <x v="0"/>
  </r>
  <r>
    <n v="1865510448"/>
    <n v="13"/>
    <s v="Male"/>
    <s v="-2805 days - 862 days"/>
    <s v="Office Visit"/>
    <s v="Type 1 diabetes mellitus (EHR);"/>
    <m/>
    <s v="Fatigue (day -4)"/>
    <m/>
    <m/>
    <m/>
    <m/>
    <m/>
    <m/>
    <m/>
    <m/>
    <s v="insulin aspart, human (day 8, for 4 days); insulin glargine (day 29, for 0 days); insulin aspart, human (day 57, for 26 days); insulin aspart, human (day 125, for 4 days); insulin glargine (day 125, for 0 days); insulin aspart, human (day 210, for 4 days); insulin glargine (day 210, for 0 days); insulin aspart, human (day 262, for 49 days); insulin glargine (day 273, for 0 days); insulin aspart, human (day 405, for 4 days); insulin aspart, human (day 471, for 4 days); insulin aspart, human (day 568, for 4 days); insulin aspart, human (day 610, for 4 days); insulin aspart, human (day 680, for 4 days); insulin aspart, human (day 715, for 4 days); insulin glargine (day 715, for 0 days); insulin aspart, human (day 814, for 4 days); insulin glargine (day 853, for 0 days); insulin aspart, human (day 853, for 4 days);"/>
    <m/>
    <x v="0"/>
  </r>
  <r>
    <n v="2000210593"/>
    <n v="7"/>
    <s v="Male"/>
    <s v="-2213 days - 173 days"/>
    <s v="Office Visit"/>
    <s v="Type 1 diabetes mellitus (EHR);"/>
    <m/>
    <m/>
    <m/>
    <m/>
    <m/>
    <m/>
    <m/>
    <m/>
    <m/>
    <m/>
    <s v="insulin glargine (day 4, for 27 days); insulin aspart, human (day 4, for 27 days);"/>
    <m/>
    <x v="0"/>
  </r>
  <r>
    <n v="2062710552"/>
    <n v="19"/>
    <s v="Male"/>
    <s v="-384 days - 630 days"/>
    <s v="Office Visit"/>
    <s v="Type 1 diabetes mellitus (EHR);"/>
    <m/>
    <m/>
    <m/>
    <m/>
    <m/>
    <m/>
    <m/>
    <m/>
    <s v="Diabetes mellitus (day 17); Endogenous depression first episode (day 415)"/>
    <m/>
    <s v="insulin aspart, human (day 62, for 0 days); insulin aspart, human (day 170, for 0 days); insulin aspart, human (day 415, for 0 days); insulin aspart, human (day 496, for 0 days); insulin aspart, human (day 588, for 0 days);"/>
    <m/>
    <x v="0"/>
  </r>
  <r>
    <n v="2072410974"/>
    <n v="17"/>
    <s v="Male"/>
    <s v="-5305 days - 2323 days"/>
    <s v="Office Visit"/>
    <s v="Type 1 diabetes mellitus (EHR);"/>
    <m/>
    <m/>
    <m/>
    <m/>
    <m/>
    <m/>
    <m/>
    <m/>
    <s v="Mixed anxiety and depressive disorder (day 2251); Type 1 diabetes mellitus (day 43)"/>
    <m/>
    <s v="insulin aspart, human (day 19, for 17 days); insulin glargine (day 34, for 2 days); insulin glargine (day 67, for 70 days); insulin aspart, human (day 70, for 67 days); insulin glargine (day 175, for 49 days); insulin aspart, human (day 175, for 49 days); insulin aspart, human (day 258, for 0 days); insulin glargine (day 258, for 0 days); insulin aspart, human (day 301, for 83 days); insulin glargine (day 301, for 83 days); insulin glargine (day 540, for 0 days); insulin aspart, human (day 540, for 26 days); insulin aspart, human (day 606, for 72 days); insulin glargine (day 651, for 27 days); insulin aspart, human (day 715, for 82 days); insulin glargine (day 715, for 82 days); insulin aspart, human (day 834, for 84 days); insulin glargine (day 837, for 81 days); insulin aspart, human (day 949, for 87 days); insulin glargine (day 949, for 87 days); insulin aspart, human (day 1076, for 29 days); insulin glargine (day 1076, for 29 days); insulin aspart, human (day 1142, for 28 days); insulin glargine (day 1142, for 28 days); insulin aspart, human (day 1210, for 0 days); insulin glargine (day 1210, for 0 days); insulin aspart, human (day 1243, for 0 days); insulin glargine (day 1243, for 0 days); insulin aspart, human (day 1280, for 30 days); insulin glargine (day 1280, for 30 days); insulin aspart, human (day 1341, for 51 days); insulin glargine (day 1341, for 51 days); insulin glargine (day 1426, for 0 days); insulin aspart, human (day 1426, for 0 days); insulin aspart, human (day 1468, for 0 days); insulin glargine (day 1468, for 0 days); insulin glargine (day 1509, for 25 days); insulin aspart, human (day 1509, for 25 days); insulin glargine (day 1567, for 27 days); insulin aspart, human (day 1567, for 27 days); insulin glargine (day 1651, for 0 days); insulin aspart, human (day 1651, for 0 days); insulin aspart, human (day 1712, for 46 days); insulin glargine (day 1712, for 46 days); insulin glargine (day 1807, for 28 days); insulin aspart, human (day 1807, for 28 days); insulin glargine (day 1875, for 0 days); insulin aspart, human (day 1875, for 0 days); insulin glargine (day 1932, for 26 days); insulin aspart, human (day 1932, for 26 days); insulin glargine (day 2041, for 23 days); insulin aspart, human (day 2041, for 23 days); insulin aspart, human (day 2101, for 0 days); insulin glargine (day 2101, for 0 days); insulin glargine (day 2140, for 0 days); insulin aspart, human (day 2140, for 0 days); insulin glargine (day 2177, for 22 days); insulin aspart, human (day 2177, for 22 days); insulin glargine (day 2233, for 0 days); insulin aspart, human (day 2233, for 0 days); insulin glargine (day 2280, for 28 days); insulin aspart, human (day 2280, for 28 days);"/>
    <m/>
    <x v="0"/>
  </r>
  <r>
    <n v="2196210387"/>
    <n v="6"/>
    <s v="Male"/>
    <s v="-914 days - 935 days"/>
    <s v="Office Visit"/>
    <s v="Type 1 diabetes mellitus (EHR);"/>
    <m/>
    <m/>
    <m/>
    <m/>
    <m/>
    <m/>
    <m/>
    <m/>
    <m/>
    <m/>
    <s v="insulin, regular, human (day 2, for 137 days); insulin, regular, human (day 199, for 27 days); insulin aspart, human (day 239, for 27 days); insulin, regular, human (day 331, for 27 days); insulin, regular, human (day 389, for 66 days); insulin aspart, human (day 389, for 66 days); insulin, regular, human (day 486, for 27 days); insulin aspart, human (day 568, for 83 days); insulin, regular, human (day 568, for 267 days); insulin aspart, human (day 710, for 59 days); insulin, regular, human (day 899, for 27 days);"/>
    <m/>
    <x v="0"/>
  </r>
  <r>
    <n v="2220510348"/>
    <n v="19"/>
    <s v="Male"/>
    <s v="-943 days - 1218 days"/>
    <s v="Office Visit"/>
    <s v="Type 1 diabetes mellitus (EHR);"/>
    <m/>
    <m/>
    <m/>
    <m/>
    <m/>
    <m/>
    <m/>
    <m/>
    <m/>
    <m/>
    <s v="insulin aspart, human (day 6, for 219 days); insulin aspart, human (day 258, for 205 days);"/>
    <m/>
    <x v="0"/>
  </r>
  <r>
    <n v="2353710622"/>
    <n v="16"/>
    <s v="Female"/>
    <s v="-1658 days - 672 days"/>
    <s v="Office Visit"/>
    <s v="Type 1 diabetes mellitus (EHR);"/>
    <s v="Celiac disease (day -742)"/>
    <m/>
    <m/>
    <m/>
    <m/>
    <m/>
    <m/>
    <m/>
    <s v="Type 1 diabetes mellitus (day 435)"/>
    <m/>
    <s v="insulin aspart, human (day 0, for 13 days); insulin glargine (day 0, for 13 days); insulin aspart, human (day 55, for 86 days); insulin glargine (day 55, for 23 days); insulin glargine (day 141, for 0 days); insulin glargine (day 188, for 0 days); insulin aspart, human (day 188, for 28 days); insulin aspart, human (day 266, for 41 days); insulin glargine (day 307, for 0 days); insulin degludec (day 346, for 0 days); insulin aspart, human (day 357, for 0 days); insulin aspart, human (day 391, for 0 days); insulin degludec (day 391, for 0 days); insulin aspart, human (day 434, for 0 days); insulin degludec (day 434, for 0 days); insulin aspart, human (day 469, for 0 days); insulin degludec (day 469, for 0 days); insulin aspart, human (day 513, for 0 days); insulin aspart, human (day 561, for 0 days); insulin degludec (day 561, for 0 days); insulin degludec (day 637, for 0 days); insulin aspart, human (day 637, for 0 days);"/>
    <m/>
    <x v="0"/>
  </r>
  <r>
    <n v="2459710934"/>
    <n v="3"/>
    <s v="Male"/>
    <s v="-951 days - 602 days"/>
    <s v="Office Visit"/>
    <s v="Type 1 diabetes mellitus (EHR);"/>
    <m/>
    <m/>
    <m/>
    <m/>
    <m/>
    <m/>
    <m/>
    <m/>
    <m/>
    <m/>
    <s v="insulin aspart, human (day 1, for 228 days); insulin aspart, human (day 293, for 319 days);"/>
    <m/>
    <x v="0"/>
  </r>
  <r>
    <n v="2625910670"/>
    <n v="13"/>
    <s v="Female"/>
    <s v="-2079 days - 1974 days"/>
    <s v="Office Visit"/>
    <s v="Type 1 diabetes mellitus (EHR);"/>
    <m/>
    <m/>
    <m/>
    <m/>
    <m/>
    <m/>
    <m/>
    <m/>
    <s v="Ketoacidosis due to type 1 diabetes mellitus (day 1248)"/>
    <m/>
    <s v="insulin aspart, human (day 34, for 0 days); insulin, regular, human (day 37, for 50 days); insulin aspart, human (day 81, for 218 days); insulin aspart, human (day 338, for 288 days); insulin aspart, human (day 663, for 52 days); insulin aspart, human (day 746, for 27 days); insulin aspart, human (day 815, for 114 days); insulin aspart, human (day 993, for 27 days); insulin aspart, human (day 1083, for 97 days); insulin aspart, human (day 1217, for 194 days); insulin aspart, human (day 1451, for 115 days); insulin aspart, human (day 1663, for 222 days); insulin aspart, human (day 1945, for 27 days);"/>
    <m/>
    <x v="0"/>
  </r>
  <r>
    <n v="2850010979"/>
    <n v="2"/>
    <s v="Male"/>
    <s v="-630 days - 2283 days"/>
    <s v="Office Visit"/>
    <s v="Type 1 diabetes mellitus (EHR);"/>
    <m/>
    <m/>
    <m/>
    <m/>
    <m/>
    <m/>
    <m/>
    <m/>
    <m/>
    <m/>
    <s v="insulin aspart, human (day 12, for 1 days); insulin aspart, human (day 55, for 1 days); insulin aspart, human (day 97, for 1 days); insulin aspart, human (day 201, for 127 days); insulin aspart, human (day 369, for 125 days); insulin aspart, human (day 541, for 58 days); insulin aspart, human (day 686, for 103 days); insulin aspart, human (day 832, for 27 days); insulin aspart, human (day 910, for 340 days); insulin aspart, human (day 1314, for 300 days); insulin aspart, human (day 1647, for 310 days); insulin aspart, human (day 1994, for 310 days);"/>
    <m/>
    <x v="0"/>
  </r>
  <r>
    <n v="2990210861"/>
    <n v="1"/>
    <s v="Male"/>
    <s v="-367 days - 508 days"/>
    <s v="Office Visit"/>
    <s v="Type 1 diabetes mellitus (EHR);"/>
    <m/>
    <m/>
    <m/>
    <m/>
    <m/>
    <m/>
    <m/>
    <m/>
    <m/>
    <m/>
    <s v="insulin aspart, human (day 106, for 3 days); insulin aspart, human (day 150, for 27 days); insulin aspart, human (day 220, for 27 days); insulin aspart, human (day 303, for 3 days); insulin aspart, human (day 373, for 3 days); insulin aspart, human (day 421, for 3 days); insulin aspart, human (day 488, for 15 days);"/>
    <m/>
    <x v="0"/>
  </r>
  <r>
    <n v="3525210465"/>
    <n v="53"/>
    <s v="Male"/>
    <s v="-2268 days - 2189 days"/>
    <s v="Office Visit"/>
    <s v="Type 1 diabetes mellitus (EHR);"/>
    <m/>
    <m/>
    <m/>
    <m/>
    <m/>
    <m/>
    <m/>
    <m/>
    <s v="Type 1 diabetes mellitus (day 1266)"/>
    <m/>
    <s v="insulin, regular, human (day 0, for 69 days); insulin, regular, human (day 383, for 27 days); insulin, regular, human (day 508, for 27 days); insulin, regular, human (day 605, for 27 days); insulin, regular, human (day 721, for 66 days); insulin, regular, human (day 1096, for 27 days); insulin, regular, human (day 1235, for 27 days); insulin, regular, human (day 1369, for 27 days); insulin, regular, human (day 1453, for 27 days); insulin, regular, human (day 1530, for 57 days); insulin, regular, human (day 1634, for 84 days); insulin, regular, human (day 1769, for 202 days); insulin, regular, human (day 2019, for 69 days); insulin, regular, human (day 2121, for 27 days);"/>
    <m/>
    <x v="0"/>
  </r>
  <r>
    <n v="3782210815"/>
    <n v="43"/>
    <s v="Female"/>
    <s v="-1462 days - 4578 days"/>
    <s v="Office Visit"/>
    <s v="Type 1 diabetes mellitus (EHR);"/>
    <m/>
    <m/>
    <m/>
    <m/>
    <m/>
    <m/>
    <m/>
    <m/>
    <m/>
    <m/>
    <s v="insulin aspart, human (day 2, for 0 days); insulin aspart, human (day 166, for 36 days); insulin glargine (day 175, for 0 days); insulin glargine (day 238, for 27 days); insulin aspart, human (day 238, for 27 days); insulin glargine (day 299, for 27 days); insulin aspart, human (day 383, for 27 days); insulin glargine (day 383, for 27 days); insulin aspart, human (day 537, for 27 days); insulin glargine (day 537, for 27 days); insulin glargine (day 737, for 27 days); insulin aspart, human (day 737, for 27 days); insulin aspart, human (day 807, for 27 days); insulin glargine (day 807, for 27 days); insulin aspart, human (day 1015, for 27 days); insulin glargine (day 1015, for 27 days); insulin aspart, human (day 1282, for 27 days); insulin glargine (day 1282, for 27 days); insulin glargine (day 1374, for 27 days); insulin aspart, human (day 1374, for 27 days); insulin aspart, human (day 1759, for 27 days); insulin glargine (day 1759, for 27 days); insulin glargine (day 1913, for 27 days); insulin aspart, human (day 1913, for 27 days); insulin aspart, human (day 2091, for 27 days); insulin glargine (day 2091, for 27 days); insulin aspart, human (day 2234, for 27 days); insulin glargine (day 2234, for 27 days); insulin aspart, human (day 2515, for 27 days); insulin glargine (day 2515, for 27 days); insulin aspart, human (day 2602, for 27 days); insulin glargine (day 2602, for 27 days); insulin aspart, human (day 2667, for 27 days); insulin glargine (day 2667, for 27 days); insulin glargine (day 2883, for 27 days); insulin aspart, human (day 2883, for 27 days); insulin glargine (day 3019, for 27 days); insulin aspart, human (day 3019, for 27 days); insulin glargine (day 3254, for 27 days); insulin aspart, human (day 3254, for 27 days); insulin glargine (day 3352, for 27 days); insulin aspart, human (day 3352, for 27 days); insulin glargine (day 3439, for 62 days); insulin aspart, human (day 3439, for 62 days); insulin glargine (day 3569, for 27 days); insulin aspart, human (day 3569, for 27 days); insulin aspart, human (day 3718, for 27 days); insulin glargine (day 3718, for 27 days); insulin glargine (day 3877, for 27 days); insulin aspart, human (day 3877, for 27 days); insulin aspart, human (day 4018, for 27 days); insulin glargine (day 4018, for 27 days); insulin aspart, human (day 4221, for 27 days); insulin glargine (day 4221, for 27 days); insulin aspart, human (day 4404, for 27 days); insulin glargine (day 4404, for 27 days);"/>
    <m/>
    <x v="0"/>
  </r>
  <r>
    <n v="4946010229"/>
    <n v="5"/>
    <s v="Female"/>
    <s v="-1750 days - 6407 days"/>
    <s v="Office Visit"/>
    <s v="Type 1 diabetes mellitus (EHR);"/>
    <m/>
    <m/>
    <m/>
    <m/>
    <m/>
    <m/>
    <m/>
    <m/>
    <s v="Mixed anxiety and depressive disorder (day 5237); Type 1 diabetes mellitus (day 333)"/>
    <m/>
    <s v="insulin lispro (day 1186, for 27 days); insulin glargine (day 1186, for 27 days); insulin glargine (day 1254, for 27 days); insulin lispro (day 1254, for 27 days); insulin lispro (day 1430, for 27 days); insulin lispro (day 1526, for 27 days); insulin glargine (day 1539, for 80 days); insulin lispro (day 1592, for 27 days); insulin lispro (day 1665, for 126 days); insulin glargine (day 1665, for 27 days); insulin glargine (day 1870, for 27 days); insulin lispro (day 1890, for 27 days); insulin lispro (day 1959, for 92 days); insulin glargine (day 2066, for 27 days); insulin lispro (day 2115, for 27 days); insulin lispro (day 2177, for 27 days); insulin glargine (day 2218, for 27 days); insulin lispro (day 2247, for 243 days); insulin glargine (day 2304, for 27 days); insulin glargine (day 2407, for 83 days); insulin lispro (day 2526, for 27 days); insulin lispro (day 2605, for 257 days); insulin glargine (day 2605, for 27 days); insulin glargine (day 2731, for 27 days); insulin glargine (day 2806, for 27 days); insulin lispro (day 2911, for 107 days); insulin glargine (day 2911, for 27 days); insulin glargine (day 2991, for 27 days); insulin lispro (day 3065, for 181 days); insulin glargine (day 3118, for 80 days); insulin glargine (day 3279, for 27 days); insulin lispro (day 3279, for 660 days); insulin glargine (day 3353, for 78 days); insulin glargine (day 3482, for 27 days); insulin glargine (day 3563, for 121 days); insulin glargine (day 3775, for 123 days); insulin lispro (day 3975, for 134 days); insulin glargine (day 3975, for 27 days); insulin glargine (day 4048, for 61 days); insulin glargine (day 4145, for 74 days); insulin lispro (day 4146, for 75 days); insulin lispro (day 4263, for 349 days); insulin glargine (day 4298, for 72 days); insulin glargine (day 4454, for 123 days); insulin lispro (day 4692, for 89 days); insulin glargine (day 4727, for 54 days); insulin glargine (day 4839, for 27 days); insulin lispro (day 4839, for 27 days); insulin glargine (day 4930, for 80 days); insulin lispro (day 4930, for 104 days); insulin lispro (day 5105, for 27 days); insulin glargine (day 5105, for 27 days); insulin glargine (day 6064, for 49 days); insulin lispro (day 6064, for 49 days); insulin lispro (day 6162, for 27 days); insulin glargine (day 6162, for 27 days); insulin glargine (day 6223, for 27 days); insulin lispro (day 6223, for 27 days); insulin glargine (day 6285, for 27 days); insulin glargine (day 6351, for 41 days); insulin lispro (day 6351, for 67 days);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643110884"/>
    <n v="50"/>
    <s v="Male"/>
    <m/>
    <s v="Type 1 diabetes mellitus"/>
    <s v="Yes (insulin aspart)"/>
    <s v="No"/>
    <s v="Yes"/>
    <x v="0"/>
  </r>
  <r>
    <n v="706710306"/>
    <n v="48"/>
    <s v="Male"/>
    <m/>
    <s v="Chronic kidney disease stage 3, Nonproliferative retinopathy"/>
    <s v="Yes (insulin glargine/aspart)"/>
    <s v="Yes"/>
    <s v="Yes"/>
    <x v="1"/>
  </r>
  <r>
    <n v="384210994"/>
    <n v="30"/>
    <s v="Male"/>
    <m/>
    <m/>
    <s v="Yes (insulin glargine/aspart)"/>
    <s v="No"/>
    <s v="Yes"/>
    <x v="0"/>
  </r>
  <r>
    <n v="1502010397"/>
    <n v="15"/>
    <s v="Male"/>
    <m/>
    <s v="Type 1 diabetes mellitus"/>
    <s v="Yes (insulin aspart/regular + Metformin)"/>
    <s v="No"/>
    <s v="Yes"/>
    <x v="0"/>
  </r>
  <r>
    <n v="503810366"/>
    <n v="72"/>
    <s v="Male"/>
    <m/>
    <s v="Depressive disorder, Recurrent major depressive episodes"/>
    <s v="Yes (insulin glargine/aspart)"/>
    <s v="No"/>
    <s v="Yes"/>
    <x v="0"/>
  </r>
  <r>
    <n v="5282710166"/>
    <n v="22"/>
    <s v="Male"/>
    <m/>
    <s v="Diabetic ketoacidosis (DKA), Ketoacidosis due to type 1 diabetes mellitus"/>
    <s v="Yes (insulin aspart/lispro)"/>
    <s v="Yes"/>
    <s v="Yes"/>
    <x v="1"/>
  </r>
  <r>
    <n v="153910595"/>
    <n v="60"/>
    <s v="Male"/>
    <s v="Type 2 diabetes mellitus"/>
    <s v="Type 2 diabetes mellitus, Type 1 diabetes mellitus"/>
    <s v="No"/>
    <s v="No"/>
    <s v="No"/>
    <x v="2"/>
  </r>
  <r>
    <n v="239110163"/>
    <n v="11"/>
    <s v="Female"/>
    <m/>
    <s v="Retinopathy due to diabetes mellitus"/>
    <s v="Yes (insulin aspart/glargine/degludec)"/>
    <s v="Yes"/>
    <s v="Yes"/>
    <x v="1"/>
  </r>
  <r>
    <n v="258510963"/>
    <n v="48"/>
    <s v="Male"/>
    <m/>
    <m/>
    <s v="Yes (insulin glargine/aspart)"/>
    <s v="No"/>
    <s v="Yes"/>
    <x v="0"/>
  </r>
  <r>
    <n v="366910461"/>
    <n v="15"/>
    <s v="Male"/>
    <m/>
    <m/>
    <s v="Yes (insulin aspart)"/>
    <s v="No"/>
    <s v="Yes"/>
    <x v="0"/>
  </r>
  <r>
    <n v="592410349"/>
    <n v="21"/>
    <s v="Male"/>
    <m/>
    <s v="Agitated depression, Endogenous depression"/>
    <s v="Yes (insulin regular)"/>
    <s v="No"/>
    <s v="Yes"/>
    <x v="0"/>
  </r>
  <r>
    <n v="1094310233"/>
    <n v="4"/>
    <s v="Male"/>
    <m/>
    <s v="Herpes zoster, Type 1 diabetes mellitus"/>
    <s v="Yes (insulin regular/lispro/glargine)"/>
    <s v="No"/>
    <s v="Yes"/>
    <x v="0"/>
  </r>
  <r>
    <n v="1237910593"/>
    <n v="4"/>
    <s v="Male"/>
    <m/>
    <s v="Diabetic ketoacidosis (DKA)"/>
    <s v="Yes (insulin regular/glargine/aspart)"/>
    <s v="Yes"/>
    <s v="Yes"/>
    <x v="1"/>
  </r>
  <r>
    <n v="70210987"/>
    <n v="75"/>
    <s v="Male"/>
    <m/>
    <m/>
    <s v="No"/>
    <s v="No"/>
    <s v="No"/>
    <x v="2"/>
  </r>
  <r>
    <n v="87610928"/>
    <n v="14"/>
    <s v="Male"/>
    <m/>
    <s v="Retinopathy due to diabetes mellitus"/>
    <s v="Yes (insulin aspart)"/>
    <s v="Yes"/>
    <s v="Yes"/>
    <x v="1"/>
  </r>
  <r>
    <n v="92810885"/>
    <n v="24"/>
    <s v="Male"/>
    <m/>
    <s v="Nonproliferative retinopathy"/>
    <s v="Yes (insulin aspart)"/>
    <s v="Yes"/>
    <s v="Yes"/>
    <x v="1"/>
  </r>
  <r>
    <n v="129310347"/>
    <n v="30"/>
    <s v="Male"/>
    <m/>
    <s v="Ketoacidosis due to type 1 diabetes mellitus"/>
    <s v="Yes (insulin aspart)"/>
    <s v="Yes"/>
    <s v="Yes"/>
    <x v="1"/>
  </r>
  <r>
    <n v="214510962"/>
    <n v="67"/>
    <s v="Female"/>
    <m/>
    <m/>
    <s v="Yes (insulin glargine/aspart)"/>
    <s v="No"/>
    <s v="Yes"/>
    <x v="0"/>
  </r>
  <r>
    <n v="319810053"/>
    <n v="13"/>
    <s v="Male"/>
    <m/>
    <s v="Diabetic ketoacidosis (DKA)"/>
    <s v="Yes (insulin regular/aspart/glargine)"/>
    <s v="Yes"/>
    <s v="Yes"/>
    <x v="1"/>
  </r>
  <r>
    <n v="358110249"/>
    <n v="40"/>
    <s v="Male"/>
    <m/>
    <s v="Chronic kidney disease stage 3A, Nonproliferative retinopathy"/>
    <s v="Yes (Metformin/aspart/glargine)"/>
    <s v="Yes"/>
    <s v="Yes"/>
    <x v="1"/>
  </r>
  <r>
    <n v="795410971"/>
    <n v="2"/>
    <s v="Female"/>
    <m/>
    <m/>
    <s v="No"/>
    <s v="No"/>
    <s v="No"/>
    <x v="2"/>
  </r>
  <r>
    <n v="826210737"/>
    <n v="3"/>
    <s v="Female"/>
    <m/>
    <m/>
    <s v="Yes (insulin regular/aspart)"/>
    <s v="No"/>
    <s v="Yes"/>
    <x v="0"/>
  </r>
  <r>
    <n v="831210567"/>
    <n v="40"/>
    <s v="Male"/>
    <m/>
    <s v="Persistent proteinuria due to type 1 diabetes mellitus (Nephropathy)"/>
    <s v="Yes (insulin lispro/glargine)"/>
    <s v="Yes"/>
    <s v="Yes"/>
    <x v="1"/>
  </r>
  <r>
    <n v="880910162"/>
    <n v="28"/>
    <s v="Male"/>
    <m/>
    <m/>
    <s v="Yes (insulin aspart/glargine)"/>
    <s v="No"/>
    <s v="Yes"/>
    <x v="0"/>
  </r>
  <r>
    <n v="1141710321"/>
    <n v="15"/>
    <s v="Female"/>
    <m/>
    <m/>
    <s v="Yes (insulin glargine/aspart)"/>
    <s v="No"/>
    <s v="Yes"/>
    <x v="0"/>
  </r>
  <r>
    <n v="1341410118"/>
    <n v="44"/>
    <s v="Male"/>
    <m/>
    <s v="Retinopathy"/>
    <s v="Yes (insulin aspart/glargine/degludec)"/>
    <s v="Yes"/>
    <s v="Yes"/>
    <x v="1"/>
  </r>
  <r>
    <n v="1500410756"/>
    <n v="45"/>
    <s v="Male"/>
    <m/>
    <m/>
    <s v="Yes (insulin glargine/aspart)"/>
    <s v="No"/>
    <s v="Yes"/>
    <x v="0"/>
  </r>
  <r>
    <n v="1591110113"/>
    <n v="3"/>
    <s v="Female"/>
    <m/>
    <m/>
    <s v="Yes (insulin aspart)"/>
    <s v="No"/>
    <s v="Yes"/>
    <x v="0"/>
  </r>
  <r>
    <n v="1654310321"/>
    <n v="15"/>
    <s v="Male"/>
    <m/>
    <s v="Depressive disorder, Type 1 diabetes mellitus"/>
    <s v="Yes (insulin aspart/glargine)"/>
    <s v="No"/>
    <s v="Yes"/>
    <x v="0"/>
  </r>
  <r>
    <n v="1794710300"/>
    <n v="48"/>
    <s v="Female"/>
    <m/>
    <s v="Nonproliferative retinopathy, Ketoacidosis"/>
    <s v="Yes (insulin aspart/glargine)"/>
    <s v="Yes"/>
    <s v="Yes"/>
    <x v="1"/>
  </r>
  <r>
    <n v="1837010125"/>
    <n v="12"/>
    <s v="Female"/>
    <m/>
    <s v="Type 1 diabetes mellitus"/>
    <s v="Yes (insulin aspart)"/>
    <s v="No"/>
    <s v="Yes"/>
    <x v="0"/>
  </r>
  <r>
    <n v="1865510448"/>
    <n v="13"/>
    <s v="Male"/>
    <m/>
    <m/>
    <s v="Yes (insulin aspart/glargine)"/>
    <s v="No"/>
    <s v="Yes"/>
    <x v="0"/>
  </r>
  <r>
    <n v="2000210593"/>
    <n v="7"/>
    <s v="Male"/>
    <m/>
    <m/>
    <s v="Yes (insulin glargine/aspart)"/>
    <s v="No"/>
    <s v="Yes"/>
    <x v="0"/>
  </r>
  <r>
    <n v="2062710552"/>
    <n v="19"/>
    <s v="Male"/>
    <m/>
    <s v="Endogenous depression"/>
    <s v="Yes (insulin aspart)"/>
    <s v="No"/>
    <s v="Yes"/>
    <x v="0"/>
  </r>
  <r>
    <n v="2072410974"/>
    <n v="17"/>
    <s v="Male"/>
    <m/>
    <s v="Mixed anxiety and depressive disorder"/>
    <s v="Yes (insulin aspart/glargine)"/>
    <s v="No"/>
    <s v="Yes"/>
    <x v="0"/>
  </r>
  <r>
    <n v="2196210387"/>
    <n v="6"/>
    <s v="Male"/>
    <m/>
    <m/>
    <s v="Yes (insulin regular/aspart)"/>
    <s v="No"/>
    <s v="Yes"/>
    <x v="0"/>
  </r>
  <r>
    <n v="2220510348"/>
    <n v="19"/>
    <s v="Male"/>
    <m/>
    <m/>
    <s v="Yes (insulin aspart)"/>
    <s v="No"/>
    <s v="Yes"/>
    <x v="0"/>
  </r>
  <r>
    <n v="2289610265"/>
    <n v="55"/>
    <s v="Male"/>
    <m/>
    <s v="Nephropathy"/>
    <s v="Yes (insulin glargine/lispro)"/>
    <s v="Yes"/>
    <s v="Yes"/>
    <x v="1"/>
  </r>
  <r>
    <n v="2408010495"/>
    <n v="40"/>
    <s v="Male"/>
    <m/>
    <m/>
    <s v="Yes (insulin glargine/lispro/aspart)"/>
    <s v="No"/>
    <s v="Yes"/>
    <x v="0"/>
  </r>
  <r>
    <n v="2588010777"/>
    <n v="68"/>
    <s v="Male"/>
    <m/>
    <m/>
    <s v="Yes (insulin glargine/aspart/lispro)"/>
    <s v="No"/>
    <s v="Yes"/>
    <x v="0"/>
  </r>
  <r>
    <n v="2603410756"/>
    <n v="13"/>
    <s v="Male"/>
    <m/>
    <m/>
    <s v="Yes (insulin aspart/glargine)"/>
    <s v="No"/>
    <s v="Yes"/>
    <x v="0"/>
  </r>
  <r>
    <n v="2650010991"/>
    <n v="64"/>
    <s v="Male"/>
    <m/>
    <s v="Chronic kidney disease, Diabetic ketoacidosis (DKA)"/>
    <s v="Yes (insulin glargine/lispro)"/>
    <s v="Yes"/>
    <s v="Yes"/>
    <x v="1"/>
  </r>
  <r>
    <n v="2750010526"/>
    <n v="21"/>
    <s v="Male"/>
    <m/>
    <m/>
    <s v="Yes (insulin aspart/glargine)"/>
    <s v="No"/>
    <s v="Yes"/>
    <x v="0"/>
  </r>
  <r>
    <n v="2795810237"/>
    <n v="35"/>
    <s v="Female"/>
    <m/>
    <m/>
    <s v="Yes (insulin glargine/lispro)"/>
    <s v="No"/>
    <s v="Yes"/>
    <x v="0"/>
  </r>
  <r>
    <n v="2898710328"/>
    <n v="48"/>
    <s v="Female"/>
    <m/>
    <s v="Hypothyroidism"/>
    <s v="Yes (insulin glargine/aspart)"/>
    <s v="No"/>
    <s v="Yes"/>
    <x v="0"/>
  </r>
  <r>
    <n v="3163110262"/>
    <n v="34"/>
    <s v="Female"/>
    <m/>
    <s v="Diabetic ketoacidosis (DKA)"/>
    <s v="Yes (insulin aspart/glargine)"/>
    <s v="Yes"/>
    <s v="Yes"/>
    <x v="1"/>
  </r>
  <r>
    <n v="3224410196"/>
    <n v="45"/>
    <s v="Male"/>
    <m/>
    <s v="Diabetic ketoacidosis (DKA)"/>
    <s v="Yes (insulin glargine/aspart)"/>
    <s v="Yes"/>
    <s v="Yes"/>
    <x v="1"/>
  </r>
  <r>
    <n v="3270910123"/>
    <n v="54"/>
    <s v="Female"/>
    <m/>
    <m/>
    <s v="Yes (insulin aspart/glargine)"/>
    <s v="No"/>
    <s v="Yes"/>
    <x v="0"/>
  </r>
  <r>
    <n v="3381610408"/>
    <n v="38"/>
    <s v="Male"/>
    <m/>
    <s v="Retinopathy"/>
    <s v="Yes (insulin glargine/lispro/aspart)"/>
    <s v="Yes"/>
    <s v="Yes"/>
    <x v="1"/>
  </r>
  <r>
    <n v="3481210217"/>
    <n v="12"/>
    <s v="Male"/>
    <m/>
    <m/>
    <s v="Yes (insulin glargine/aspart)"/>
    <s v="No"/>
    <s v="Yes"/>
    <x v="0"/>
  </r>
  <r>
    <n v="3591910263"/>
    <n v="36"/>
    <s v="Female"/>
    <m/>
    <m/>
    <s v="Yes (insulin aspart/glargine)"/>
    <s v="No"/>
    <s v="Yes"/>
    <x v="0"/>
  </r>
  <r>
    <n v="3704610141"/>
    <n v="47"/>
    <s v="Female"/>
    <m/>
    <s v="Nonproliferative retinopathy"/>
    <s v="Yes (insulin glargine/aspart)"/>
    <s v="Yes"/>
    <s v="Yes"/>
    <x v="1"/>
  </r>
  <r>
    <n v="3772110243"/>
    <n v="50"/>
    <s v="Male"/>
    <m/>
    <m/>
    <s v="Yes (insulin glargine/aspart)"/>
    <s v="No"/>
    <s v="Yes"/>
    <x v="0"/>
  </r>
  <r>
    <n v="3811510255"/>
    <n v="50"/>
    <s v="Male"/>
    <m/>
    <s v="Ketoacidosis"/>
    <s v="Yes (insulin aspart/glargine)"/>
    <s v="Yes"/>
    <s v="Yes"/>
    <x v="1"/>
  </r>
  <r>
    <n v="3907710214"/>
    <n v="33"/>
    <s v="Male"/>
    <m/>
    <s v="Nonproliferative retinopathy"/>
    <s v="Yes (insulin glargine/aspart)"/>
    <s v="Yes"/>
    <s v="Yes"/>
    <x v="1"/>
  </r>
  <r>
    <n v="3965610185"/>
    <n v="38"/>
    <s v="Female"/>
    <m/>
    <m/>
    <s v="Yes (insulin glargine/aspart)"/>
    <s v="No"/>
    <s v="Yes"/>
    <x v="0"/>
  </r>
  <r>
    <n v="4056210259"/>
    <n v="50"/>
    <s v="Male"/>
    <m/>
    <s v="Ketoacidosis, Retinopathy"/>
    <s v="Yes (insulin glargine/aspart)"/>
    <s v="Yes"/>
    <s v="Yes"/>
    <x v="1"/>
  </r>
  <r>
    <n v="4133410531"/>
    <n v="55"/>
    <s v="Female"/>
    <m/>
    <m/>
    <s v="Yes (insulin glargine/aspart)"/>
    <s v="No"/>
    <s v="Yes"/>
    <x v="0"/>
  </r>
  <r>
    <n v="4253310188"/>
    <n v="50"/>
    <s v="Female"/>
    <m/>
    <s v="Nonproliferative retinopathy"/>
    <s v="Yes (insulin glargine/aspart)"/>
    <s v="Yes"/>
    <s v="Yes"/>
    <x v="1"/>
  </r>
  <r>
    <n v="4467010215"/>
    <n v="30"/>
    <s v="Male"/>
    <m/>
    <m/>
    <s v="Yes (insulin glargine/aspart)"/>
    <s v="No"/>
    <s v="Yes"/>
    <x v="0"/>
  </r>
  <r>
    <n v="4655410196"/>
    <n v="55"/>
    <s v="Female"/>
    <m/>
    <m/>
    <s v="Yes (insulin glargine/aspart)"/>
    <s v="No"/>
    <s v="Yes"/>
    <x v="0"/>
  </r>
  <r>
    <n v="4734310244"/>
    <n v="43"/>
    <s v="Female"/>
    <m/>
    <s v="Diabetic ketoacidosis (DKA)"/>
    <s v="Yes (insulin aspart/glargine)"/>
    <s v="Yes"/>
    <s v="Yes"/>
    <x v="1"/>
  </r>
  <r>
    <n v="4821610486"/>
    <n v="60"/>
    <s v="Male"/>
    <m/>
    <s v="Chronic kidney disease"/>
    <s v="Yes (insulin glargine/aspart)"/>
    <s v="Yes"/>
    <s v="Yes"/>
    <x v="1"/>
  </r>
  <r>
    <n v="4966910248"/>
    <n v="43"/>
    <s v="Female"/>
    <m/>
    <m/>
    <s v="Yes (insulin aspart/glargine)"/>
    <s v="No"/>
    <s v="Yes"/>
    <x v="0"/>
  </r>
  <r>
    <n v="5092010250"/>
    <n v="50"/>
    <s v="Female"/>
    <m/>
    <s v="Diabetic ketoacidosis (DKA)"/>
    <s v="Yes (insulin glargine/aspart)"/>
    <s v="Yes"/>
    <s v="Yes"/>
    <x v="1"/>
  </r>
  <r>
    <n v="5122110291"/>
    <n v="37"/>
    <s v="Male"/>
    <m/>
    <m/>
    <s v="Yes (insulin glargine/aspart)"/>
    <s v="No"/>
    <s v="Yes"/>
    <x v="0"/>
  </r>
  <r>
    <n v="5205410140"/>
    <n v="35"/>
    <s v="Female"/>
    <m/>
    <m/>
    <s v="Yes (insulin glargine/aspart)"/>
    <s v="No"/>
    <s v="Yes"/>
    <x v="0"/>
  </r>
  <r>
    <n v="5371310198"/>
    <n v="48"/>
    <s v="Female"/>
    <m/>
    <m/>
    <s v="Yes (insulin glargine/aspart)"/>
    <s v="No"/>
    <s v="Yes"/>
    <x v="0"/>
  </r>
  <r>
    <n v="5543610256"/>
    <n v="50"/>
    <s v="Male"/>
    <m/>
    <m/>
    <s v="Yes (insulin glargine/aspart)"/>
    <s v="No"/>
    <s v="Yes"/>
    <x v="0"/>
  </r>
  <r>
    <n v="5729710313"/>
    <n v="45"/>
    <s v="Female"/>
    <m/>
    <m/>
    <s v="Yes (insulin glargine/aspart)"/>
    <s v="No"/>
    <s v="Yes"/>
    <x v="0"/>
  </r>
  <r>
    <n v="5897910241"/>
    <n v="35"/>
    <s v="Male"/>
    <m/>
    <s v="Retinopathy"/>
    <s v="Yes (insulin glargine/aspart)"/>
    <s v="Yes"/>
    <s v="Yes"/>
    <x v="1"/>
  </r>
  <r>
    <n v="5971410134"/>
    <n v="45"/>
    <s v="Female"/>
    <m/>
    <m/>
    <s v="Yes (insulin glargine/aspart)"/>
    <s v="No"/>
    <s v="Yes"/>
    <x v="0"/>
  </r>
  <r>
    <n v="6092010239"/>
    <n v="40"/>
    <s v="Male"/>
    <m/>
    <m/>
    <s v="Yes (insulin glargine/aspart)"/>
    <s v="No"/>
    <s v="Yes"/>
    <x v="0"/>
  </r>
  <r>
    <n v="6265710260"/>
    <n v="48"/>
    <s v="Male"/>
    <m/>
    <m/>
    <s v="Yes (insulin glargine/aspart)"/>
    <s v="No"/>
    <s v="Yes"/>
    <x v="0"/>
  </r>
  <r>
    <n v="6393410298"/>
    <n v="45"/>
    <s v="Female"/>
    <m/>
    <m/>
    <s v="Yes (insulin glargine/aspart)"/>
    <s v="No"/>
    <s v="Yes"/>
    <x v="0"/>
  </r>
  <r>
    <n v="6554510259"/>
    <n v="45"/>
    <s v="Female"/>
    <m/>
    <m/>
    <s v="Yes (insulin glargine/aspart)"/>
    <s v="No"/>
    <s v="Yes"/>
    <x v="0"/>
  </r>
  <r>
    <n v="6744810244"/>
    <n v="47"/>
    <s v="Female"/>
    <m/>
    <s v="Nonproliferative retinopathy"/>
    <s v="Yes (insulin glargine/aspart)"/>
    <s v="Yes"/>
    <s v="Yes"/>
    <x v="1"/>
  </r>
  <r>
    <n v="6940310247"/>
    <n v="46"/>
    <s v="Male"/>
    <m/>
    <s v="Nonproliferative retinopathy"/>
    <s v="Yes (insulin glargine/aspart)"/>
    <s v="Yes"/>
    <s v="Yes"/>
    <x v="1"/>
  </r>
  <r>
    <n v="7111310257"/>
    <n v="45"/>
    <s v="Male"/>
    <m/>
    <m/>
    <s v="Yes (insulin glargine/aspart)"/>
    <s v="No"/>
    <s v="Yes"/>
    <x v="0"/>
  </r>
  <r>
    <n v="7227610264"/>
    <n v="48"/>
    <s v="Male"/>
    <m/>
    <m/>
    <s v="Yes (insulin glargine/aspart)"/>
    <s v="No"/>
    <s v="Yes"/>
    <x v="0"/>
  </r>
  <r>
    <n v="7401710251"/>
    <n v="52"/>
    <s v="Female"/>
    <m/>
    <m/>
    <s v="Yes (insulin glargine/aspart)"/>
    <s v="No"/>
    <s v="Yes"/>
    <x v="0"/>
  </r>
  <r>
    <n v="7514710242"/>
    <n v="50"/>
    <s v="Female"/>
    <m/>
    <m/>
    <s v="Yes (insulin glargine/aspart)"/>
    <s v="No"/>
    <s v="Yes"/>
    <x v="0"/>
  </r>
  <r>
    <n v="7637810268"/>
    <n v="48"/>
    <s v="Male"/>
    <m/>
    <m/>
    <s v="Yes (insulin glargine/aspart)"/>
    <s v="No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61C56-68D8-B245-96EA-349FB179B990}" name="PivotTable5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abel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C34C0-F7BD-B748-8C58-BC685C447686}" name="PivotTable6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keeper_label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6B431-EDC7-A346-822B-B0F90F6530E4}" name="PivotTable7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</pivotFields>
  <rowFields count="1">
    <field x="18"/>
  </rowFields>
  <rowItems count="2">
    <i>
      <x/>
    </i>
    <i t="grand">
      <x/>
    </i>
  </rowItems>
  <colItems count="1">
    <i/>
  </colItems>
  <dataFields count="1">
    <dataField name="Count of Label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534BA-0070-904C-AD73-3AEA20DC53C4}" name="PivotTable8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7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inical Label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8CB3FC-B775-E445-B435-7C5FC60C90C8}" autoFormatId="16" applyNumberFormats="0" applyBorderFormats="0" applyFontFormats="0" applyPatternFormats="0" applyAlignmentFormats="0" applyWidthHeightFormats="0">
  <queryTableRefresh nextId="21" unboundColumnsRight="2">
    <queryTableFields count="20">
      <queryTableField id="1" name="personId" tableColumnId="1"/>
      <queryTableField id="2" name="age" tableColumnId="2"/>
      <queryTableField id="3" name="gender" tableColumnId="3"/>
      <queryTableField id="4" name="observationPeriod" tableColumnId="4"/>
      <queryTableField id="5" name="visitContext" tableColumnId="5"/>
      <queryTableField id="6" name="presentation" tableColumnId="6"/>
      <queryTableField id="7" name="comorbidities" tableColumnId="7"/>
      <queryTableField id="8" name="symptoms" tableColumnId="8"/>
      <queryTableField id="9" name="priorDisease" tableColumnId="9"/>
      <queryTableField id="10" name="priorDrugs" tableColumnId="10"/>
      <queryTableField id="11" name="priorTreatmentProcedures" tableColumnId="11"/>
      <queryTableField id="12" name="diagnosticProcedures" tableColumnId="12"/>
      <queryTableField id="13" name="measurements" tableColumnId="13"/>
      <queryTableField id="14" name="alternativeDiagnosis" tableColumnId="14"/>
      <queryTableField id="15" name="afterDisease" tableColumnId="15"/>
      <queryTableField id="16" name="afterTreatmentProcedures" tableColumnId="16"/>
      <queryTableField id="17" name="afterDrugs" tableColumnId="17"/>
      <queryTableField id="18" name="death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16444-90DA-9A43-A3E7-6D7719B78C22}" name="keeper_output_hds3" displayName="keeper_output_hds3" ref="A1:T84" tableType="queryTable" totalsRowShown="0">
  <autoFilter ref="A1:T84" xr:uid="{20E3EB34-61DF-3E4A-93FE-5B12705D1E00}"/>
  <tableColumns count="20">
    <tableColumn id="1" xr3:uid="{C8ADA2D9-2327-9046-9919-5B5A09A6A6DF}" uniqueName="1" name="personId" queryTableFieldId="1"/>
    <tableColumn id="2" xr3:uid="{CE429CCC-C18A-C04A-AFF0-86CC351F57A7}" uniqueName="2" name="age" queryTableFieldId="2"/>
    <tableColumn id="3" xr3:uid="{C532D700-2AB6-6C47-83D9-8AE6DCFAEC40}" uniqueName="3" name="gender" queryTableFieldId="3" dataDxfId="17"/>
    <tableColumn id="4" xr3:uid="{4EF7EDA3-CA27-C046-8CF5-85BAEB2D7B0E}" uniqueName="4" name="observationPeriod" queryTableFieldId="4" dataDxfId="16"/>
    <tableColumn id="5" xr3:uid="{B4B8CB11-7DC5-5E40-A8BE-BF74C1AECA07}" uniqueName="5" name="visitContext" queryTableFieldId="5" dataDxfId="15"/>
    <tableColumn id="6" xr3:uid="{7DE67640-3919-F043-AB70-1EFC34ACC7BD}" uniqueName="6" name="presentation" queryTableFieldId="6" dataDxfId="14"/>
    <tableColumn id="7" xr3:uid="{40D5A521-84DF-1F4F-8E38-813226224E52}" uniqueName="7" name="comorbidities" queryTableFieldId="7" dataDxfId="13"/>
    <tableColumn id="8" xr3:uid="{0658BC5C-F557-5E48-A5B2-3E5D00DA9642}" uniqueName="8" name="symptoms" queryTableFieldId="8" dataDxfId="12"/>
    <tableColumn id="9" xr3:uid="{574EA2C5-ED1B-4045-8C6B-2AD7E1F2B4FE}" uniqueName="9" name="priorDisease" queryTableFieldId="9" dataDxfId="11"/>
    <tableColumn id="10" xr3:uid="{22729FF5-A59E-7E45-ABD6-7BF36D925C64}" uniqueName="10" name="priorDrugs" queryTableFieldId="10" dataDxfId="10"/>
    <tableColumn id="11" xr3:uid="{82C706DC-AF20-9844-8F23-F2CAC4364CF5}" uniqueName="11" name="priorTreatmentProcedures" queryTableFieldId="11" dataDxfId="9"/>
    <tableColumn id="12" xr3:uid="{79B4942E-5025-5749-BDC1-D084CACFF8D2}" uniqueName="12" name="diagnosticProcedures" queryTableFieldId="12" dataDxfId="8"/>
    <tableColumn id="13" xr3:uid="{F380A933-25FE-1D4E-996F-7492C261F91C}" uniqueName="13" name="measurements" queryTableFieldId="13" dataDxfId="7"/>
    <tableColumn id="14" xr3:uid="{4C32726E-FE23-9443-A473-673C1EC7CFCB}" uniqueName="14" name="alternativeDiagnosis" queryTableFieldId="14" dataDxfId="6"/>
    <tableColumn id="15" xr3:uid="{2D54AD46-31FD-084F-9B84-5B12ECD422F7}" uniqueName="15" name="afterDisease" queryTableFieldId="15" dataDxfId="5"/>
    <tableColumn id="16" xr3:uid="{BDC8DAFD-7BFB-9446-B17C-B6CCAE86466A}" uniqueName="16" name="afterTreatmentProcedures" queryTableFieldId="16" dataDxfId="4"/>
    <tableColumn id="17" xr3:uid="{29E70B48-131E-7842-9421-67BC508EC24A}" uniqueName="17" name="afterDrugs" queryTableFieldId="17" dataDxfId="3"/>
    <tableColumn id="18" xr3:uid="{65F924A1-C8C3-AB40-A03C-772C9542F1BD}" uniqueName="18" name="death" queryTableFieldId="18" dataDxfId="2"/>
    <tableColumn id="19" xr3:uid="{173A8BBC-CABD-F943-BCC6-0B849B988811}" uniqueName="19" name="DANI" queryTableFieldId="19" dataDxfId="1"/>
    <tableColumn id="20" xr3:uid="{AA24E324-E812-9A48-90AF-089A9AA9DC26}" uniqueName="20" name="NOT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91A8-2279-C646-9BEC-F652579990EA}">
  <dimension ref="A1:J6"/>
  <sheetViews>
    <sheetView workbookViewId="0">
      <selection activeCell="E4" sqref="E4"/>
    </sheetView>
  </sheetViews>
  <sheetFormatPr baseColWidth="10" defaultRowHeight="16" x14ac:dyDescent="0.2"/>
  <cols>
    <col min="1" max="1" width="3.6640625" bestFit="1" customWidth="1"/>
    <col min="3" max="3" width="6.6640625" bestFit="1" customWidth="1"/>
    <col min="4" max="4" width="7.1640625" bestFit="1" customWidth="1"/>
    <col min="5" max="5" width="9.5" bestFit="1" customWidth="1"/>
    <col min="6" max="6" width="6.1640625" bestFit="1" customWidth="1"/>
    <col min="7" max="7" width="9.5" bestFit="1" customWidth="1"/>
    <col min="8" max="8" width="6.1640625" bestFit="1" customWidth="1"/>
    <col min="9" max="9" width="7" bestFit="1" customWidth="1"/>
    <col min="10" max="10" width="7.1640625" bestFit="1" customWidth="1"/>
  </cols>
  <sheetData>
    <row r="1" spans="1:10" x14ac:dyDescent="0.2">
      <c r="A1" s="12" t="s">
        <v>327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34" customHeight="1" x14ac:dyDescent="0.2">
      <c r="A2" s="15" t="s">
        <v>261</v>
      </c>
      <c r="B2" s="3"/>
      <c r="C2" s="3" t="s">
        <v>328</v>
      </c>
      <c r="D2" s="3" t="s">
        <v>329</v>
      </c>
      <c r="E2" s="3" t="s">
        <v>330</v>
      </c>
      <c r="F2" s="3" t="s">
        <v>329</v>
      </c>
      <c r="G2" s="3" t="s">
        <v>331</v>
      </c>
      <c r="H2" s="3" t="s">
        <v>329</v>
      </c>
      <c r="I2" s="3" t="s">
        <v>332</v>
      </c>
      <c r="J2" s="4" t="s">
        <v>329</v>
      </c>
    </row>
    <row r="3" spans="1:10" ht="16" customHeight="1" x14ac:dyDescent="0.2">
      <c r="A3" s="15"/>
      <c r="B3" s="3" t="s">
        <v>94</v>
      </c>
      <c r="C3" s="3">
        <v>0</v>
      </c>
      <c r="D3" s="5">
        <f>C3/83</f>
        <v>0</v>
      </c>
      <c r="E3" s="3">
        <v>5</v>
      </c>
      <c r="F3" s="5">
        <f>E3/83</f>
        <v>6.0240963855421686E-2</v>
      </c>
      <c r="G3" s="3">
        <v>7</v>
      </c>
      <c r="H3" s="5">
        <f>G3/83</f>
        <v>8.4337349397590355E-2</v>
      </c>
      <c r="I3" s="3">
        <v>3</v>
      </c>
      <c r="J3" s="6">
        <f>I3/83</f>
        <v>3.614457831325301E-2</v>
      </c>
    </row>
    <row r="4" spans="1:10" x14ac:dyDescent="0.2">
      <c r="A4" s="15"/>
      <c r="B4" s="3" t="s">
        <v>0</v>
      </c>
      <c r="C4" s="3">
        <v>83</v>
      </c>
      <c r="D4" s="5">
        <f>C4/83</f>
        <v>1</v>
      </c>
      <c r="E4" s="3">
        <v>76</v>
      </c>
      <c r="F4" s="5">
        <f>E4/83</f>
        <v>0.91566265060240959</v>
      </c>
      <c r="G4" s="3">
        <v>44</v>
      </c>
      <c r="H4" s="5">
        <f>G4/83</f>
        <v>0.53012048192771088</v>
      </c>
      <c r="I4" s="3">
        <v>52</v>
      </c>
      <c r="J4" s="6">
        <f>I4/83</f>
        <v>0.62650602409638556</v>
      </c>
    </row>
    <row r="5" spans="1:10" ht="17" thickBot="1" x14ac:dyDescent="0.25">
      <c r="A5" s="16"/>
      <c r="B5" s="7" t="s">
        <v>38</v>
      </c>
      <c r="C5" s="7">
        <v>0</v>
      </c>
      <c r="D5" s="8">
        <f>C5/83</f>
        <v>0</v>
      </c>
      <c r="E5" s="7">
        <v>2</v>
      </c>
      <c r="F5" s="8">
        <f>E5/83</f>
        <v>2.4096385542168676E-2</v>
      </c>
      <c r="G5" s="7">
        <v>32</v>
      </c>
      <c r="H5" s="8">
        <f>G5/83</f>
        <v>0.38554216867469882</v>
      </c>
      <c r="I5" s="7">
        <v>83</v>
      </c>
      <c r="J5" s="9">
        <f>I5/83</f>
        <v>1</v>
      </c>
    </row>
    <row r="6" spans="1:10" x14ac:dyDescent="0.2">
      <c r="J6" s="10"/>
    </row>
  </sheetData>
  <mergeCells count="2">
    <mergeCell ref="A1:J1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7BF1-C55A-4440-A9BF-EF51D2B6A1F0}">
  <sheetPr filterMode="1"/>
  <dimension ref="A1:G84"/>
  <sheetViews>
    <sheetView tabSelected="1" zoomScale="99" workbookViewId="0">
      <selection activeCell="E5" sqref="E5"/>
    </sheetView>
  </sheetViews>
  <sheetFormatPr baseColWidth="10" defaultRowHeight="16" x14ac:dyDescent="0.2"/>
  <sheetData>
    <row r="1" spans="1:7" x14ac:dyDescent="0.2">
      <c r="A1" s="11" t="s">
        <v>259</v>
      </c>
      <c r="B1" t="s">
        <v>361</v>
      </c>
      <c r="C1" t="s">
        <v>328</v>
      </c>
      <c r="D1" t="s">
        <v>330</v>
      </c>
      <c r="E1" t="s">
        <v>331</v>
      </c>
      <c r="F1" t="s">
        <v>332</v>
      </c>
      <c r="G1" t="s">
        <v>360</v>
      </c>
    </row>
    <row r="2" spans="1:7" x14ac:dyDescent="0.2">
      <c r="A2">
        <v>643110884</v>
      </c>
      <c r="B2" t="str">
        <f>INDEX('Clinician-DPA'!S:S,MATCH('All by All'!A2,'Clinician-DPA'!A:A,0))</f>
        <v>Probable (treatment-only)</v>
      </c>
      <c r="C2" t="str">
        <f>INDEX('GPT 5o'!S:S,MATCH('All by All'!A2,'GPT 5o'!A:A,0))</f>
        <v>No Case</v>
      </c>
      <c r="D2" t="str">
        <f>INDEX('Copilot 4o'!S:S,MATCH('All by All'!A2,'Copilot 4o'!A:A,0))</f>
        <v>Probable</v>
      </c>
      <c r="E2" t="str">
        <f>INDEX('Copilot 5o'!S:S,MATCH('All by All'!A2,'Copilot 4o'!A:A,0))</f>
        <v>Probable</v>
      </c>
      <c r="F2" t="str">
        <f>INDEX(Gemini!I:I,MATCH('All by All'!A2,Gemini!A:A,0))</f>
        <v>Probable</v>
      </c>
      <c r="G2" t="str">
        <f>INDEX('Clinician-APU'!U:U,MATCH('All by All'!A2,'Clinician-APU'!C:C,0))</f>
        <v>PROBABLE</v>
      </c>
    </row>
    <row r="3" spans="1:7" x14ac:dyDescent="0.2">
      <c r="A3">
        <v>706710306</v>
      </c>
      <c r="B3" t="str">
        <f>INDEX('Clinician-DPA'!S:S,MATCH('All by All'!A3,'Clinician-DPA'!A:A,0))</f>
        <v>Case</v>
      </c>
      <c r="C3" t="str">
        <f>INDEX('GPT 5o'!S:S,MATCH('All by All'!A3,'GPT 5o'!A:A,0))</f>
        <v>No Case</v>
      </c>
      <c r="D3" t="str">
        <f>INDEX('Copilot 4o'!S:S,MATCH('All by All'!A3,'Copilot 4o'!A:A,0))</f>
        <v>Probable</v>
      </c>
      <c r="E3" t="str">
        <f>INDEX('Copilot 5o'!S:S,MATCH('All by All'!A3,'Copilot 4o'!A:A,0))</f>
        <v>Case</v>
      </c>
      <c r="F3" t="str">
        <f>INDEX(Gemini!I:I,MATCH('All by All'!A3,Gemini!A:A,0))</f>
        <v>Case</v>
      </c>
      <c r="G3" t="str">
        <f>INDEX('Clinician-APU'!U:U,MATCH('All by All'!A3,'Clinician-APU'!C:C,0))</f>
        <v>CASE</v>
      </c>
    </row>
    <row r="4" spans="1:7" x14ac:dyDescent="0.2">
      <c r="A4">
        <v>384210994</v>
      </c>
      <c r="B4" t="str">
        <f>INDEX('Clinician-DPA'!S:S,MATCH('All by All'!A4,'Clinician-DPA'!A:A,0))</f>
        <v>Probable (treatment-only)</v>
      </c>
      <c r="C4" t="str">
        <f>INDEX('GPT 5o'!S:S,MATCH('All by All'!A4,'GPT 5o'!A:A,0))</f>
        <v>No Case</v>
      </c>
      <c r="D4" t="str">
        <f>INDEX('Copilot 4o'!S:S,MATCH('All by All'!A4,'Copilot 4o'!A:A,0))</f>
        <v>Probable</v>
      </c>
      <c r="E4" t="str">
        <f>INDEX('Copilot 5o'!S:S,MATCH('All by All'!A4,'Copilot 4o'!A:A,0))</f>
        <v>Probable</v>
      </c>
      <c r="F4" t="str">
        <f>INDEX(Gemini!I:I,MATCH('All by All'!A4,Gemini!A:A,0))</f>
        <v>Probable</v>
      </c>
      <c r="G4" t="str">
        <f>INDEX('Clinician-APU'!U:U,MATCH('All by All'!A4,'Clinician-APU'!C:C,0))</f>
        <v>PROBABLE</v>
      </c>
    </row>
    <row r="5" spans="1:7" x14ac:dyDescent="0.2">
      <c r="A5">
        <v>1502010397</v>
      </c>
      <c r="B5" t="str">
        <f>INDEX('Clinician-DPA'!S:S,MATCH('All by All'!A5,'Clinician-DPA'!A:A,0))</f>
        <v>No case</v>
      </c>
      <c r="C5" t="str">
        <f>INDEX('GPT 5o'!S:S,MATCH('All by All'!A5,'GPT 5o'!A:A,0))</f>
        <v>No Case</v>
      </c>
      <c r="D5" t="str">
        <f>INDEX('Copilot 4o'!S:S,MATCH('All by All'!A5,'Copilot 4o'!A:A,0))</f>
        <v>Probable</v>
      </c>
      <c r="E5" t="str">
        <f>INDEX('Copilot 5o'!S:S,MATCH('All by All'!A5,'Copilot 4o'!A:A,0))</f>
        <v>Probable</v>
      </c>
      <c r="F5" t="str">
        <f>INDEX(Gemini!I:I,MATCH('All by All'!A5,Gemini!A:A,0))</f>
        <v>Probable</v>
      </c>
      <c r="G5" t="str">
        <f>INDEX('Clinician-APU'!U:U,MATCH('All by All'!A5,'Clinician-APU'!C:C,0))</f>
        <v>NON-CASE</v>
      </c>
    </row>
    <row r="6" spans="1:7" x14ac:dyDescent="0.2">
      <c r="A6">
        <v>503810366</v>
      </c>
      <c r="B6" t="str">
        <f>INDEX('Clinician-DPA'!S:S,MATCH('All by All'!A6,'Clinician-DPA'!A:A,0))</f>
        <v>Case</v>
      </c>
      <c r="C6" t="str">
        <f>INDEX('GPT 5o'!S:S,MATCH('All by All'!A6,'GPT 5o'!A:A,0))</f>
        <v>No Case</v>
      </c>
      <c r="D6" t="str">
        <f>INDEX('Copilot 4o'!S:S,MATCH('All by All'!A6,'Copilot 4o'!A:A,0))</f>
        <v>Probable</v>
      </c>
      <c r="E6" t="str">
        <f>INDEX('Copilot 5o'!S:S,MATCH('All by All'!A6,'Copilot 4o'!A:A,0))</f>
        <v>Probable</v>
      </c>
      <c r="F6" t="str">
        <f>INDEX(Gemini!I:I,MATCH('All by All'!A6,Gemini!A:A,0))</f>
        <v>Probable</v>
      </c>
      <c r="G6" t="str">
        <f>INDEX('Clinician-APU'!U:U,MATCH('All by All'!A6,'Clinician-APU'!C:C,0))</f>
        <v>PROBABLE</v>
      </c>
    </row>
    <row r="7" spans="1:7" x14ac:dyDescent="0.2">
      <c r="A7">
        <v>5282710166</v>
      </c>
      <c r="B7" t="str">
        <f>INDEX('Clinician-DPA'!S:S,MATCH('All by All'!A7,'Clinician-DPA'!A:A,0))</f>
        <v>Case</v>
      </c>
      <c r="C7" t="str">
        <f>INDEX('GPT 5o'!S:S,MATCH('All by All'!A7,'GPT 5o'!A:A,0))</f>
        <v>No Case</v>
      </c>
      <c r="D7" t="str">
        <f>INDEX('Copilot 4o'!S:S,MATCH('All by All'!A7,'Copilot 4o'!A:A,0))</f>
        <v>Probable</v>
      </c>
      <c r="E7" t="str">
        <f>INDEX('Copilot 5o'!S:S,MATCH('All by All'!A7,'Copilot 4o'!A:A,0))</f>
        <v>Case</v>
      </c>
      <c r="F7" t="str">
        <f>INDEX(Gemini!I:I,MATCH('All by All'!A7,Gemini!A:A,0))</f>
        <v>Case</v>
      </c>
      <c r="G7" t="str">
        <f>INDEX('Clinician-APU'!U:U,MATCH('All by All'!A7,'Clinician-APU'!C:C,0))</f>
        <v>CASE</v>
      </c>
    </row>
    <row r="8" spans="1:7" x14ac:dyDescent="0.2">
      <c r="A8">
        <v>153910595</v>
      </c>
      <c r="B8" t="str">
        <f>INDEX('Clinician-DPA'!S:S,MATCH('All by All'!A8,'Clinician-DPA'!A:A,0))</f>
        <v>No case</v>
      </c>
      <c r="C8" t="str">
        <f>INDEX('GPT 5o'!S:S,MATCH('All by All'!A8,'GPT 5o'!A:A,0))</f>
        <v>No Case</v>
      </c>
      <c r="D8" t="str">
        <f>INDEX('Copilot 4o'!S:S,MATCH('All by All'!A8,'Copilot 4o'!A:A,0))</f>
        <v>No Case</v>
      </c>
      <c r="E8" t="str">
        <f>INDEX('Copilot 5o'!S:S,MATCH('All by All'!A8,'Copilot 4o'!A:A,0))</f>
        <v>No Case</v>
      </c>
      <c r="F8" t="str">
        <f>INDEX(Gemini!I:I,MATCH('All by All'!A8,Gemini!A:A,0))</f>
        <v>No Case</v>
      </c>
      <c r="G8" t="str">
        <f>INDEX('Clinician-APU'!U:U,MATCH('All by All'!A8,'Clinician-APU'!C:C,0))</f>
        <v>NON-CASE</v>
      </c>
    </row>
    <row r="9" spans="1:7" x14ac:dyDescent="0.2">
      <c r="A9">
        <v>239110163</v>
      </c>
      <c r="B9" t="str">
        <f>INDEX('Clinician-DPA'!S:S,MATCH('All by All'!A9,'Clinician-DPA'!A:A,0))</f>
        <v>Case</v>
      </c>
      <c r="C9" t="str">
        <f>INDEX('GPT 5o'!S:S,MATCH('All by All'!A9,'GPT 5o'!A:A,0))</f>
        <v>No Case</v>
      </c>
      <c r="D9" t="str">
        <f>INDEX('Copilot 4o'!S:S,MATCH('All by All'!A9,'Copilot 4o'!A:A,0))</f>
        <v>Probable</v>
      </c>
      <c r="E9" t="str">
        <f>INDEX('Copilot 5o'!S:S,MATCH('All by All'!A9,'Copilot 4o'!A:A,0))</f>
        <v>Case</v>
      </c>
      <c r="F9" t="str">
        <f>INDEX(Gemini!I:I,MATCH('All by All'!A9,Gemini!A:A,0))</f>
        <v>Case</v>
      </c>
      <c r="G9" t="str">
        <f>INDEX('Clinician-APU'!U:U,MATCH('All by All'!A9,'Clinician-APU'!C:C,0))</f>
        <v>CASE</v>
      </c>
    </row>
    <row r="10" spans="1:7" x14ac:dyDescent="0.2">
      <c r="A10">
        <v>258510963</v>
      </c>
      <c r="B10" t="str">
        <f>INDEX('Clinician-DPA'!S:S,MATCH('All by All'!A10,'Clinician-DPA'!A:A,0))</f>
        <v>Probable (treatment-only)</v>
      </c>
      <c r="C10" t="str">
        <f>INDEX('GPT 5o'!S:S,MATCH('All by All'!A10,'GPT 5o'!A:A,0))</f>
        <v>No Case</v>
      </c>
      <c r="D10" t="str">
        <f>INDEX('Copilot 4o'!S:S,MATCH('All by All'!A10,'Copilot 4o'!A:A,0))</f>
        <v>Probable</v>
      </c>
      <c r="E10" t="str">
        <f>INDEX('Copilot 5o'!S:S,MATCH('All by All'!A10,'Copilot 4o'!A:A,0))</f>
        <v>Probable</v>
      </c>
      <c r="F10" t="str">
        <f>INDEX(Gemini!I:I,MATCH('All by All'!A10,Gemini!A:A,0))</f>
        <v>Probable</v>
      </c>
      <c r="G10" t="str">
        <f>INDEX('Clinician-APU'!U:U,MATCH('All by All'!A10,'Clinician-APU'!C:C,0))</f>
        <v>PROBABLE</v>
      </c>
    </row>
    <row r="11" spans="1:7" x14ac:dyDescent="0.2">
      <c r="A11">
        <v>366910461</v>
      </c>
      <c r="B11" t="str">
        <f>INDEX('Clinician-DPA'!S:S,MATCH('All by All'!A11,'Clinician-DPA'!A:A,0))</f>
        <v>Probable (treatment-only)</v>
      </c>
      <c r="C11" t="str">
        <f>INDEX('GPT 5o'!S:S,MATCH('All by All'!A11,'GPT 5o'!A:A,0))</f>
        <v>No Case</v>
      </c>
      <c r="D11" t="str">
        <f>INDEX('Copilot 4o'!S:S,MATCH('All by All'!A11,'Copilot 4o'!A:A,0))</f>
        <v>Probable</v>
      </c>
      <c r="E11" t="str">
        <f>INDEX('Copilot 5o'!S:S,MATCH('All by All'!A11,'Copilot 4o'!A:A,0))</f>
        <v>Probable</v>
      </c>
      <c r="F11" t="str">
        <f>INDEX(Gemini!I:I,MATCH('All by All'!A11,Gemini!A:A,0))</f>
        <v>Probable</v>
      </c>
      <c r="G11" t="str">
        <f>INDEX('Clinician-APU'!U:U,MATCH('All by All'!A11,'Clinician-APU'!C:C,0))</f>
        <v>PROBABLE</v>
      </c>
    </row>
    <row r="12" spans="1:7" x14ac:dyDescent="0.2">
      <c r="A12">
        <v>592410349</v>
      </c>
      <c r="B12" t="str">
        <f>INDEX('Clinician-DPA'!S:S,MATCH('All by All'!A12,'Clinician-DPA'!A:A,0))</f>
        <v>Probable (treatment-only)</v>
      </c>
      <c r="C12" t="str">
        <f>INDEX('GPT 5o'!S:S,MATCH('All by All'!A12,'GPT 5o'!A:A,0))</f>
        <v>No Case</v>
      </c>
      <c r="D12" t="str">
        <f>INDEX('Copilot 4o'!S:S,MATCH('All by All'!A12,'Copilot 4o'!A:A,0))</f>
        <v>Probable</v>
      </c>
      <c r="E12" t="str">
        <f>INDEX('Copilot 5o'!S:S,MATCH('All by All'!A12,'Copilot 4o'!A:A,0))</f>
        <v>Probable</v>
      </c>
      <c r="F12" t="str">
        <f>INDEX(Gemini!I:I,MATCH('All by All'!A12,Gemini!A:A,0))</f>
        <v>Probable</v>
      </c>
      <c r="G12" t="str">
        <f>INDEX('Clinician-APU'!U:U,MATCH('All by All'!A12,'Clinician-APU'!C:C,0))</f>
        <v>PROBABLE</v>
      </c>
    </row>
    <row r="13" spans="1:7" x14ac:dyDescent="0.2">
      <c r="A13">
        <v>1094310233</v>
      </c>
      <c r="B13" t="str">
        <f>INDEX('Clinician-DPA'!S:S,MATCH('All by All'!A13,'Clinician-DPA'!A:A,0))</f>
        <v>Probable (treatment-only)</v>
      </c>
      <c r="C13" t="str">
        <f>INDEX('GPT 5o'!S:S,MATCH('All by All'!A13,'GPT 5o'!A:A,0))</f>
        <v>No Case</v>
      </c>
      <c r="D13" t="str">
        <f>INDEX('Copilot 4o'!S:S,MATCH('All by All'!A13,'Copilot 4o'!A:A,0))</f>
        <v>Probable</v>
      </c>
      <c r="E13" t="str">
        <f>INDEX('Copilot 5o'!S:S,MATCH('All by All'!A13,'Copilot 4o'!A:A,0))</f>
        <v>Probable</v>
      </c>
      <c r="F13" t="str">
        <f>INDEX(Gemini!I:I,MATCH('All by All'!A13,Gemini!A:A,0))</f>
        <v>Probable</v>
      </c>
      <c r="G13" t="str">
        <f>INDEX('Clinician-APU'!U:U,MATCH('All by All'!A13,'Clinician-APU'!C:C,0))</f>
        <v>PROBABLE</v>
      </c>
    </row>
    <row r="14" spans="1:7" x14ac:dyDescent="0.2">
      <c r="A14">
        <v>1237910593</v>
      </c>
      <c r="B14" t="str">
        <f>INDEX('Clinician-DPA'!S:S,MATCH('All by All'!A14,'Clinician-DPA'!A:A,0))</f>
        <v>Case</v>
      </c>
      <c r="C14" t="str">
        <f>INDEX('GPT 5o'!S:S,MATCH('All by All'!A14,'GPT 5o'!A:A,0))</f>
        <v>No Case</v>
      </c>
      <c r="D14" t="str">
        <f>INDEX('Copilot 4o'!S:S,MATCH('All by All'!A14,'Copilot 4o'!A:A,0))</f>
        <v>Probable</v>
      </c>
      <c r="E14" t="str">
        <f>INDEX('Copilot 5o'!S:S,MATCH('All by All'!A14,'Copilot 4o'!A:A,0))</f>
        <v>Case</v>
      </c>
      <c r="F14" t="str">
        <f>INDEX(Gemini!I:I,MATCH('All by All'!A14,Gemini!A:A,0))</f>
        <v>Case</v>
      </c>
      <c r="G14" t="str">
        <f>INDEX('Clinician-APU'!U:U,MATCH('All by All'!A14,'Clinician-APU'!C:C,0))</f>
        <v>CASE</v>
      </c>
    </row>
    <row r="15" spans="1:7" hidden="1" x14ac:dyDescent="0.2">
      <c r="A15">
        <v>1489110030</v>
      </c>
      <c r="B15" t="str">
        <f>INDEX('Clinician-DPA'!S:S,MATCH('All by All'!A15,'Clinician-DPA'!A:A,0))</f>
        <v>No case</v>
      </c>
      <c r="C15" t="str">
        <f>INDEX('GPT 5o'!S:S,MATCH('All by All'!A15,'GPT 5o'!A:A,0))</f>
        <v>No Case</v>
      </c>
      <c r="D15" t="str">
        <f>INDEX('Copilot 4o'!S:S,MATCH('All by All'!A15,'Copilot 4o'!A:A,0))</f>
        <v>No Case</v>
      </c>
      <c r="E15" t="str">
        <f>INDEX('Copilot 5o'!S:S,MATCH('All by All'!A15,'Copilot 4o'!A:A,0))</f>
        <v>No Case</v>
      </c>
      <c r="F15" t="e">
        <f>INDEX(Gemini!I:I,MATCH('All by All'!A16,Gemini!A:A,0))</f>
        <v>#N/A</v>
      </c>
      <c r="G15" t="str">
        <f>INDEX('Clinician-APU'!U:U,MATCH('All by All'!A15,'Clinician-APU'!C:C,0))</f>
        <v>NON-CASE</v>
      </c>
    </row>
    <row r="16" spans="1:7" hidden="1" x14ac:dyDescent="0.2">
      <c r="A16">
        <v>3333010111</v>
      </c>
      <c r="B16" t="str">
        <f>INDEX('Clinician-DPA'!S:S,MATCH('All by All'!A16,'Clinician-DPA'!A:A,0))</f>
        <v>Probable (treatment-only)</v>
      </c>
      <c r="C16" t="str">
        <f>INDEX('GPT 5o'!S:S,MATCH('All by All'!A16,'GPT 5o'!A:A,0))</f>
        <v>No Case</v>
      </c>
      <c r="D16" t="str">
        <f>INDEX('Copilot 4o'!S:S,MATCH('All by All'!A16,'Copilot 4o'!A:A,0))</f>
        <v>Probable</v>
      </c>
      <c r="E16" t="str">
        <f>INDEX('Copilot 5o'!S:S,MATCH('All by All'!A16,'Copilot 4o'!A:A,0))</f>
        <v>Case</v>
      </c>
      <c r="F16" t="e">
        <f>INDEX(Gemini!I:I,MATCH('All by All'!A16,Gemini!A:A,0))</f>
        <v>#N/A</v>
      </c>
      <c r="G16" t="str">
        <f>INDEX('Clinician-APU'!U:U,MATCH('All by All'!A16,'Clinician-APU'!C:C,0))</f>
        <v>CASE</v>
      </c>
    </row>
    <row r="17" spans="1:7" hidden="1" x14ac:dyDescent="0.2">
      <c r="A17">
        <v>4298610465</v>
      </c>
      <c r="B17" t="str">
        <f>INDEX('Clinician-DPA'!S:S,MATCH('All by All'!A17,'Clinician-DPA'!A:A,0))</f>
        <v>Case</v>
      </c>
      <c r="C17" t="str">
        <f>INDEX('GPT 5o'!S:S,MATCH('All by All'!A17,'GPT 5o'!A:A,0))</f>
        <v>No Case</v>
      </c>
      <c r="D17" t="str">
        <f>INDEX('Copilot 4o'!S:S,MATCH('All by All'!A17,'Copilot 4o'!A:A,0))</f>
        <v>Probable</v>
      </c>
      <c r="E17" t="str">
        <f>INDEX('Copilot 5o'!S:S,MATCH('All by All'!A17,'Copilot 4o'!A:A,0))</f>
        <v>Case</v>
      </c>
      <c r="F17" t="e">
        <f>INDEX(Gemini!I:I,MATCH('All by All'!A17,Gemini!A:A,0))</f>
        <v>#N/A</v>
      </c>
      <c r="G17" t="str">
        <f>INDEX('Clinician-APU'!U:U,MATCH('All by All'!A17,'Clinician-APU'!C:C,0))</f>
        <v>CASE</v>
      </c>
    </row>
    <row r="18" spans="1:7" hidden="1" x14ac:dyDescent="0.2">
      <c r="A18">
        <v>863610325</v>
      </c>
      <c r="B18" t="str">
        <f>INDEX('Clinician-DPA'!S:S,MATCH('All by All'!A18,'Clinician-DPA'!A:A,0))</f>
        <v>Case</v>
      </c>
      <c r="C18" t="str">
        <f>INDEX('GPT 5o'!S:S,MATCH('All by All'!A18,'GPT 5o'!A:A,0))</f>
        <v>No Case</v>
      </c>
      <c r="D18" t="str">
        <f>INDEX('Copilot 4o'!S:S,MATCH('All by All'!A18,'Copilot 4o'!A:A,0))</f>
        <v>Probable</v>
      </c>
      <c r="E18" t="str">
        <f>INDEX('Copilot 5o'!S:S,MATCH('All by All'!A18,'Copilot 4o'!A:A,0))</f>
        <v>Case</v>
      </c>
      <c r="F18" t="e">
        <f>INDEX(Gemini!I:I,MATCH('All by All'!A18,Gemini!A:A,0))</f>
        <v>#N/A</v>
      </c>
      <c r="G18" t="str">
        <f>INDEX('Clinician-APU'!U:U,MATCH('All by All'!A18,'Clinician-APU'!C:C,0))</f>
        <v>CASE</v>
      </c>
    </row>
    <row r="19" spans="1:7" hidden="1" x14ac:dyDescent="0.2">
      <c r="A19">
        <v>3882310263</v>
      </c>
      <c r="B19" t="str">
        <f>INDEX('Clinician-DPA'!S:S,MATCH('All by All'!A19,'Clinician-DPA'!A:A,0))</f>
        <v>Probable (treatment-only)</v>
      </c>
      <c r="C19" t="str">
        <f>INDEX('GPT 5o'!S:S,MATCH('All by All'!A19,'GPT 5o'!A:A,0))</f>
        <v>No Case</v>
      </c>
      <c r="D19" t="str">
        <f>INDEX('Copilot 4o'!S:S,MATCH('All by All'!A19,'Copilot 4o'!A:A,0))</f>
        <v>Probable</v>
      </c>
      <c r="E19" t="str">
        <f>INDEX('Copilot 5o'!S:S,MATCH('All by All'!A19,'Copilot 4o'!A:A,0))</f>
        <v>Case</v>
      </c>
      <c r="F19" t="e">
        <f>INDEX(Gemini!I:I,MATCH('All by All'!A19,Gemini!A:A,0))</f>
        <v>#N/A</v>
      </c>
      <c r="G19" t="str">
        <f>INDEX('Clinician-APU'!U:U,MATCH('All by All'!A19,'Clinician-APU'!C:C,0))</f>
        <v>PROBABLE</v>
      </c>
    </row>
    <row r="20" spans="1:7" hidden="1" x14ac:dyDescent="0.2">
      <c r="A20">
        <v>502810717</v>
      </c>
      <c r="B20" t="str">
        <f>INDEX('Clinician-DPA'!S:S,MATCH('All by All'!A20,'Clinician-DPA'!A:A,0))</f>
        <v>Case</v>
      </c>
      <c r="C20" t="str">
        <f>INDEX('GPT 5o'!S:S,MATCH('All by All'!A20,'GPT 5o'!A:A,0))</f>
        <v>No Case</v>
      </c>
      <c r="D20" t="str">
        <f>INDEX('Copilot 4o'!S:S,MATCH('All by All'!A20,'Copilot 4o'!A:A,0))</f>
        <v>Probable</v>
      </c>
      <c r="E20" t="str">
        <f>INDEX('Copilot 5o'!S:S,MATCH('All by All'!A20,'Copilot 4o'!A:A,0))</f>
        <v>Case</v>
      </c>
      <c r="F20" t="e">
        <f>INDEX(Gemini!I:I,MATCH('All by All'!A20,Gemini!A:A,0))</f>
        <v>#N/A</v>
      </c>
      <c r="G20" t="str">
        <f>INDEX('Clinician-APU'!U:U,MATCH('All by All'!A20,'Clinician-APU'!C:C,0))</f>
        <v>CASE</v>
      </c>
    </row>
    <row r="21" spans="1:7" hidden="1" x14ac:dyDescent="0.2">
      <c r="A21">
        <v>811810047</v>
      </c>
      <c r="B21" t="str">
        <f>INDEX('Clinician-DPA'!S:S,MATCH('All by All'!A21,'Clinician-DPA'!A:A,0))</f>
        <v>Case</v>
      </c>
      <c r="C21" t="str">
        <f>INDEX('GPT 5o'!S:S,MATCH('All by All'!A21,'GPT 5o'!A:A,0))</f>
        <v>No Case</v>
      </c>
      <c r="D21" t="str">
        <f>INDEX('Copilot 4o'!S:S,MATCH('All by All'!A21,'Copilot 4o'!A:A,0))</f>
        <v>Probable</v>
      </c>
      <c r="E21" t="str">
        <f>INDEX('Copilot 5o'!S:S,MATCH('All by All'!A21,'Copilot 4o'!A:A,0))</f>
        <v>Case</v>
      </c>
      <c r="F21" t="e">
        <f>INDEX(Gemini!I:I,MATCH('All by All'!A21,Gemini!A:A,0))</f>
        <v>#N/A</v>
      </c>
      <c r="G21" t="str">
        <f>INDEX('Clinician-APU'!U:U,MATCH('All by All'!A21,'Clinician-APU'!C:C,0))</f>
        <v>CASE</v>
      </c>
    </row>
    <row r="22" spans="1:7" hidden="1" x14ac:dyDescent="0.2">
      <c r="A22">
        <v>1626210870</v>
      </c>
      <c r="B22" t="str">
        <f>INDEX('Clinician-DPA'!S:S,MATCH('All by All'!A22,'Clinician-DPA'!A:A,0))</f>
        <v>Case</v>
      </c>
      <c r="C22" t="str">
        <f>INDEX('GPT 5o'!S:S,MATCH('All by All'!A22,'GPT 5o'!A:A,0))</f>
        <v>No Case</v>
      </c>
      <c r="D22" t="str">
        <f>INDEX('Copilot 4o'!S:S,MATCH('All by All'!A22,'Copilot 4o'!A:A,0))</f>
        <v>Probable</v>
      </c>
      <c r="E22" t="str">
        <f>INDEX('Copilot 5o'!S:S,MATCH('All by All'!A22,'Copilot 4o'!A:A,0))</f>
        <v>Case</v>
      </c>
      <c r="F22" t="e">
        <f>INDEX(Gemini!I:I,MATCH('All by All'!A22,Gemini!A:A,0))</f>
        <v>#N/A</v>
      </c>
      <c r="G22" t="str">
        <f>INDEX('Clinician-APU'!U:U,MATCH('All by All'!A22,'Clinician-APU'!C:C,0))</f>
        <v>CASE</v>
      </c>
    </row>
    <row r="23" spans="1:7" hidden="1" x14ac:dyDescent="0.2">
      <c r="A23">
        <v>2213210607</v>
      </c>
      <c r="B23" t="str">
        <f>INDEX('Clinician-DPA'!S:S,MATCH('All by All'!A23,'Clinician-DPA'!A:A,0))</f>
        <v>Case</v>
      </c>
      <c r="C23" t="str">
        <f>INDEX('GPT 5o'!S:S,MATCH('All by All'!A23,'GPT 5o'!A:A,0))</f>
        <v>No Case</v>
      </c>
      <c r="D23" t="str">
        <f>INDEX('Copilot 4o'!S:S,MATCH('All by All'!A23,'Copilot 4o'!A:A,0))</f>
        <v>Probable</v>
      </c>
      <c r="E23" t="str">
        <f>INDEX('Copilot 5o'!S:S,MATCH('All by All'!A23,'Copilot 4o'!A:A,0))</f>
        <v>Case</v>
      </c>
      <c r="F23" t="e">
        <f>INDEX(Gemini!I:I,MATCH('All by All'!A23,Gemini!A:A,0))</f>
        <v>#N/A</v>
      </c>
      <c r="G23" t="str">
        <f>INDEX('Clinician-APU'!U:U,MATCH('All by All'!A23,'Clinician-APU'!C:C,0))</f>
        <v>CASE</v>
      </c>
    </row>
    <row r="24" spans="1:7" hidden="1" x14ac:dyDescent="0.2">
      <c r="A24">
        <v>5494710200</v>
      </c>
      <c r="B24" t="str">
        <f>INDEX('Clinician-DPA'!S:S,MATCH('All by All'!A24,'Clinician-DPA'!A:A,0))</f>
        <v>Probable (treatment-only)</v>
      </c>
      <c r="C24" t="str">
        <f>INDEX('GPT 5o'!S:S,MATCH('All by All'!A24,'GPT 5o'!A:A,0))</f>
        <v>No Case</v>
      </c>
      <c r="D24" t="str">
        <f>INDEX('Copilot 4o'!S:S,MATCH('All by All'!A24,'Copilot 4o'!A:A,0))</f>
        <v>Probable</v>
      </c>
      <c r="E24" t="str">
        <f>INDEX('Copilot 5o'!S:S,MATCH('All by All'!A24,'Copilot 4o'!A:A,0))</f>
        <v>Case</v>
      </c>
      <c r="F24" t="e">
        <f>INDEX(Gemini!I:I,MATCH('All by All'!A24,Gemini!A:A,0))</f>
        <v>#N/A</v>
      </c>
      <c r="G24" t="str">
        <f>INDEX('Clinician-APU'!U:U,MATCH('All by All'!A24,'Clinician-APU'!C:C,0))</f>
        <v>CASE</v>
      </c>
    </row>
    <row r="25" spans="1:7" hidden="1" x14ac:dyDescent="0.2">
      <c r="A25">
        <v>1525510677</v>
      </c>
      <c r="B25" t="str">
        <f>INDEX('Clinician-DPA'!S:S,MATCH('All by All'!A25,'Clinician-DPA'!A:A,0))</f>
        <v>Case</v>
      </c>
      <c r="C25" t="str">
        <f>INDEX('GPT 5o'!S:S,MATCH('All by All'!A25,'GPT 5o'!A:A,0))</f>
        <v>No Case</v>
      </c>
      <c r="D25" t="str">
        <f>INDEX('Copilot 4o'!S:S,MATCH('All by All'!A25,'Copilot 4o'!A:A,0))</f>
        <v>Probable</v>
      </c>
      <c r="E25" t="str">
        <f>INDEX('Copilot 5o'!S:S,MATCH('All by All'!A25,'Copilot 4o'!A:A,0))</f>
        <v>Case</v>
      </c>
      <c r="F25" t="e">
        <f>INDEX(Gemini!I:I,MATCH('All by All'!A25,Gemini!A:A,0))</f>
        <v>#N/A</v>
      </c>
      <c r="G25" t="str">
        <f>INDEX('Clinician-APU'!U:U,MATCH('All by All'!A25,'Clinician-APU'!C:C,0))</f>
        <v>CASE</v>
      </c>
    </row>
    <row r="26" spans="1:7" hidden="1" x14ac:dyDescent="0.2">
      <c r="A26">
        <v>3810766</v>
      </c>
      <c r="B26" t="str">
        <f>INDEX('Clinician-DPA'!S:S,MATCH('All by All'!A26,'Clinician-DPA'!A:A,0))</f>
        <v>Case</v>
      </c>
      <c r="C26" t="str">
        <f>INDEX('GPT 5o'!S:S,MATCH('All by All'!A26,'GPT 5o'!A:A,0))</f>
        <v>No Case</v>
      </c>
      <c r="D26" t="str">
        <f>INDEX('Copilot 4o'!S:S,MATCH('All by All'!A26,'Copilot 4o'!A:A,0))</f>
        <v>Probable</v>
      </c>
      <c r="E26" t="str">
        <f>INDEX('Copilot 5o'!S:S,MATCH('All by All'!A26,'Copilot 4o'!A:A,0))</f>
        <v>Case</v>
      </c>
      <c r="F26" t="e">
        <f>INDEX(Gemini!I:I,MATCH('All by All'!A26,Gemini!A:A,0))</f>
        <v>#N/A</v>
      </c>
      <c r="G26" t="str">
        <f>INDEX('Clinician-APU'!U:U,MATCH('All by All'!A26,'Clinician-APU'!C:C,0))</f>
        <v>CASE</v>
      </c>
    </row>
    <row r="27" spans="1:7" hidden="1" x14ac:dyDescent="0.2">
      <c r="A27">
        <v>4610438</v>
      </c>
      <c r="B27" t="str">
        <f>INDEX('Clinician-DPA'!S:S,MATCH('All by All'!A27,'Clinician-DPA'!A:A,0))</f>
        <v>Case</v>
      </c>
      <c r="C27" t="str">
        <f>INDEX('GPT 5o'!S:S,MATCH('All by All'!A27,'GPT 5o'!A:A,0))</f>
        <v>No Case</v>
      </c>
      <c r="D27" t="str">
        <f>INDEX('Copilot 4o'!S:S,MATCH('All by All'!A27,'Copilot 4o'!A:A,0))</f>
        <v>Probable</v>
      </c>
      <c r="E27" t="str">
        <f>INDEX('Copilot 5o'!S:S,MATCH('All by All'!A27,'Copilot 4o'!A:A,0))</f>
        <v>No Case</v>
      </c>
      <c r="F27" t="e">
        <f>INDEX(Gemini!I:I,MATCH('All by All'!A27,Gemini!A:A,0))</f>
        <v>#N/A</v>
      </c>
      <c r="G27" t="str">
        <f>INDEX('Clinician-APU'!U:U,MATCH('All by All'!A27,'Clinician-APU'!C:C,0))</f>
        <v>NON-CASE</v>
      </c>
    </row>
    <row r="28" spans="1:7" hidden="1" x14ac:dyDescent="0.2">
      <c r="A28">
        <v>9710983</v>
      </c>
      <c r="B28" t="str">
        <f>INDEX('Clinician-DPA'!S:S,MATCH('All by All'!A28,'Clinician-DPA'!A:A,0))</f>
        <v>Case</v>
      </c>
      <c r="C28" t="str">
        <f>INDEX('GPT 5o'!S:S,MATCH('All by All'!A28,'GPT 5o'!A:A,0))</f>
        <v>No Case</v>
      </c>
      <c r="D28" t="str">
        <f>INDEX('Copilot 4o'!S:S,MATCH('All by All'!A28,'Copilot 4o'!A:A,0))</f>
        <v>Probable</v>
      </c>
      <c r="E28" t="str">
        <f>INDEX('Copilot 5o'!S:S,MATCH('All by All'!A28,'Copilot 4o'!A:A,0))</f>
        <v>Case</v>
      </c>
      <c r="F28" t="e">
        <f>INDEX(Gemini!I:I,MATCH('All by All'!A28,Gemini!A:A,0))</f>
        <v>#N/A</v>
      </c>
      <c r="G28" t="str">
        <f>INDEX('Clinician-APU'!U:U,MATCH('All by All'!A28,'Clinician-APU'!C:C,0))</f>
        <v>CASE</v>
      </c>
    </row>
    <row r="29" spans="1:7" hidden="1" x14ac:dyDescent="0.2">
      <c r="A29">
        <v>62910668</v>
      </c>
      <c r="B29" t="str">
        <f>INDEX('Clinician-DPA'!S:S,MATCH('All by All'!A29,'Clinician-DPA'!A:A,0))</f>
        <v>Probable (treatment-only)</v>
      </c>
      <c r="C29" t="str">
        <f>INDEX('GPT 5o'!S:S,MATCH('All by All'!A29,'GPT 5o'!A:A,0))</f>
        <v>No Case</v>
      </c>
      <c r="D29" t="str">
        <f>INDEX('Copilot 4o'!S:S,MATCH('All by All'!A29,'Copilot 4o'!A:A,0))</f>
        <v>Probable</v>
      </c>
      <c r="E29" t="str">
        <f>INDEX('Copilot 5o'!S:S,MATCH('All by All'!A29,'Copilot 4o'!A:A,0))</f>
        <v>Probable</v>
      </c>
      <c r="F29" t="e">
        <f>INDEX(Gemini!I:I,MATCH('All by All'!A29,Gemini!A:A,0))</f>
        <v>#N/A</v>
      </c>
      <c r="G29" t="str">
        <f>INDEX('Clinician-APU'!U:U,MATCH('All by All'!A29,'Clinician-APU'!C:C,0))</f>
        <v>PROBABLE</v>
      </c>
    </row>
    <row r="30" spans="1:7" x14ac:dyDescent="0.2">
      <c r="A30">
        <v>70210987</v>
      </c>
      <c r="B30" t="str">
        <f>INDEX('Clinician-DPA'!S:S,MATCH('All by All'!A30,'Clinician-DPA'!A:A,0))</f>
        <v>No case</v>
      </c>
      <c r="C30" t="str">
        <f>INDEX('GPT 5o'!S:S,MATCH('All by All'!A30,'GPT 5o'!A:A,0))</f>
        <v>No Case</v>
      </c>
      <c r="D30" t="str">
        <f>INDEX('Copilot 4o'!S:S,MATCH('All by All'!A30,'Copilot 4o'!A:A,0))</f>
        <v>No Case</v>
      </c>
      <c r="E30" t="str">
        <f>INDEX('Copilot 5o'!S:S,MATCH('All by All'!A30,'Copilot 4o'!A:A,0))</f>
        <v>No Case</v>
      </c>
      <c r="F30" t="str">
        <f>INDEX(Gemini!I:I,MATCH('All by All'!A30,Gemini!A:A,0))</f>
        <v>No Case</v>
      </c>
      <c r="G30" t="str">
        <f>INDEX('Clinician-APU'!U:U,MATCH('All by All'!A30,'Clinician-APU'!C:C,0))</f>
        <v>NON-CASE</v>
      </c>
    </row>
    <row r="31" spans="1:7" x14ac:dyDescent="0.2">
      <c r="A31">
        <v>87610928</v>
      </c>
      <c r="B31" t="str">
        <f>INDEX('Clinician-DPA'!S:S,MATCH('All by All'!A31,'Clinician-DPA'!A:A,0))</f>
        <v>Case</v>
      </c>
      <c r="C31" t="str">
        <f>INDEX('GPT 5o'!S:S,MATCH('All by All'!A31,'GPT 5o'!A:A,0))</f>
        <v>No Case</v>
      </c>
      <c r="D31" t="str">
        <f>INDEX('Copilot 4o'!S:S,MATCH('All by All'!A31,'Copilot 4o'!A:A,0))</f>
        <v>Probable</v>
      </c>
      <c r="E31" t="str">
        <f>INDEX('Copilot 5o'!S:S,MATCH('All by All'!A31,'Copilot 4o'!A:A,0))</f>
        <v>Case</v>
      </c>
      <c r="F31" t="str">
        <f>INDEX(Gemini!I:I,MATCH('All by All'!A31,Gemini!A:A,0))</f>
        <v>Case</v>
      </c>
      <c r="G31" t="str">
        <f>INDEX('Clinician-APU'!U:U,MATCH('All by All'!A31,'Clinician-APU'!C:C,0))</f>
        <v>CASE</v>
      </c>
    </row>
    <row r="32" spans="1:7" x14ac:dyDescent="0.2">
      <c r="A32">
        <v>92810885</v>
      </c>
      <c r="B32" t="str">
        <f>INDEX('Clinician-DPA'!S:S,MATCH('All by All'!A32,'Clinician-DPA'!A:A,0))</f>
        <v>Case</v>
      </c>
      <c r="C32" t="str">
        <f>INDEX('GPT 5o'!S:S,MATCH('All by All'!A32,'GPT 5o'!A:A,0))</f>
        <v>No Case</v>
      </c>
      <c r="D32" t="str">
        <f>INDEX('Copilot 4o'!S:S,MATCH('All by All'!A32,'Copilot 4o'!A:A,0))</f>
        <v>Probable</v>
      </c>
      <c r="E32" t="str">
        <f>INDEX('Copilot 5o'!S:S,MATCH('All by All'!A32,'Copilot 4o'!A:A,0))</f>
        <v>Case</v>
      </c>
      <c r="F32" t="str">
        <f>INDEX(Gemini!I:I,MATCH('All by All'!A32,Gemini!A:A,0))</f>
        <v>Case</v>
      </c>
      <c r="G32" t="str">
        <f>INDEX('Clinician-APU'!U:U,MATCH('All by All'!A32,'Clinician-APU'!C:C,0))</f>
        <v>CASE</v>
      </c>
    </row>
    <row r="33" spans="1:7" x14ac:dyDescent="0.2">
      <c r="A33">
        <v>129310347</v>
      </c>
      <c r="B33" t="str">
        <f>INDEX('Clinician-DPA'!S:S,MATCH('All by All'!A33,'Clinician-DPA'!A:A,0))</f>
        <v>Case</v>
      </c>
      <c r="C33" t="str">
        <f>INDEX('GPT 5o'!S:S,MATCH('All by All'!A33,'GPT 5o'!A:A,0))</f>
        <v>No Case</v>
      </c>
      <c r="D33" t="str">
        <f>INDEX('Copilot 4o'!S:S,MATCH('All by All'!A33,'Copilot 4o'!A:A,0))</f>
        <v>Probable</v>
      </c>
      <c r="E33" t="str">
        <f>INDEX('Copilot 5o'!S:S,MATCH('All by All'!A33,'Copilot 4o'!A:A,0))</f>
        <v>Case</v>
      </c>
      <c r="F33" t="str">
        <f>INDEX(Gemini!I:I,MATCH('All by All'!A33,Gemini!A:A,0))</f>
        <v>Case</v>
      </c>
      <c r="G33" t="str">
        <f>INDEX('Clinician-APU'!U:U,MATCH('All by All'!A33,'Clinician-APU'!C:C,0))</f>
        <v>CASE</v>
      </c>
    </row>
    <row r="34" spans="1:7" x14ac:dyDescent="0.2">
      <c r="A34">
        <v>214510962</v>
      </c>
      <c r="B34" t="str">
        <f>INDEX('Clinician-DPA'!S:S,MATCH('All by All'!A34,'Clinician-DPA'!A:A,0))</f>
        <v>Probable (treatment-only)</v>
      </c>
      <c r="C34" t="str">
        <f>INDEX('GPT 5o'!S:S,MATCH('All by All'!A34,'GPT 5o'!A:A,0))</f>
        <v>No Case</v>
      </c>
      <c r="D34" t="str">
        <f>INDEX('Copilot 4o'!S:S,MATCH('All by All'!A34,'Copilot 4o'!A:A,0))</f>
        <v>Probable</v>
      </c>
      <c r="E34" t="str">
        <f>INDEX('Copilot 5o'!S:S,MATCH('All by All'!A34,'Copilot 4o'!A:A,0))</f>
        <v>Probable</v>
      </c>
      <c r="F34" t="str">
        <f>INDEX(Gemini!I:I,MATCH('All by All'!A34,Gemini!A:A,0))</f>
        <v>Probable</v>
      </c>
      <c r="G34" t="str">
        <f>INDEX('Clinician-APU'!U:U,MATCH('All by All'!A34,'Clinician-APU'!C:C,0))</f>
        <v>PROBABLE</v>
      </c>
    </row>
    <row r="35" spans="1:7" hidden="1" x14ac:dyDescent="0.2">
      <c r="A35">
        <v>244010017</v>
      </c>
      <c r="B35" t="str">
        <f>INDEX('Clinician-DPA'!S:S,MATCH('All by All'!A35,'Clinician-DPA'!A:A,0))</f>
        <v>Case</v>
      </c>
      <c r="C35" t="str">
        <f>INDEX('GPT 5o'!S:S,MATCH('All by All'!A35,'GPT 5o'!A:A,0))</f>
        <v>No Case</v>
      </c>
      <c r="D35" t="str">
        <f>INDEX('Copilot 4o'!S:S,MATCH('All by All'!A35,'Copilot 4o'!A:A,0))</f>
        <v>Probable</v>
      </c>
      <c r="E35" t="str">
        <f>INDEX('Copilot 5o'!S:S,MATCH('All by All'!A35,'Copilot 4o'!A:A,0))</f>
        <v>Probable</v>
      </c>
      <c r="F35" t="e">
        <f>INDEX(Gemini!I:I,MATCH('All by All'!A35,Gemini!A:A,0))</f>
        <v>#N/A</v>
      </c>
      <c r="G35" t="str">
        <f>INDEX('Clinician-APU'!U:U,MATCH('All by All'!A35,'Clinician-APU'!C:C,0))</f>
        <v>CASE</v>
      </c>
    </row>
    <row r="36" spans="1:7" x14ac:dyDescent="0.2">
      <c r="A36">
        <v>319810053</v>
      </c>
      <c r="B36" t="str">
        <f>INDEX('Clinician-DPA'!S:S,MATCH('All by All'!A36,'Clinician-DPA'!A:A,0))</f>
        <v>Case</v>
      </c>
      <c r="C36" t="str">
        <f>INDEX('GPT 5o'!S:S,MATCH('All by All'!A36,'GPT 5o'!A:A,0))</f>
        <v>No Case</v>
      </c>
      <c r="D36" t="str">
        <f>INDEX('Copilot 4o'!S:S,MATCH('All by All'!A36,'Copilot 4o'!A:A,0))</f>
        <v>Probable</v>
      </c>
      <c r="E36" t="str">
        <f>INDEX('Copilot 5o'!S:S,MATCH('All by All'!A36,'Copilot 4o'!A:A,0))</f>
        <v>Case</v>
      </c>
      <c r="F36" t="str">
        <f>INDEX(Gemini!I:I,MATCH('All by All'!A36,Gemini!A:A,0))</f>
        <v>Case</v>
      </c>
      <c r="G36" t="str">
        <f>INDEX('Clinician-APU'!U:U,MATCH('All by All'!A36,'Clinician-APU'!C:C,0))</f>
        <v>CASE</v>
      </c>
    </row>
    <row r="37" spans="1:7" x14ac:dyDescent="0.2">
      <c r="A37">
        <v>358110249</v>
      </c>
      <c r="B37" t="str">
        <f>INDEX('Clinician-DPA'!S:S,MATCH('All by All'!A37,'Clinician-DPA'!A:A,0))</f>
        <v>Case</v>
      </c>
      <c r="C37" t="str">
        <f>INDEX('GPT 5o'!S:S,MATCH('All by All'!A37,'GPT 5o'!A:A,0))</f>
        <v>No Case</v>
      </c>
      <c r="D37" t="str">
        <f>INDEX('Copilot 4o'!S:S,MATCH('All by All'!A37,'Copilot 4o'!A:A,0))</f>
        <v>Probable</v>
      </c>
      <c r="E37" t="str">
        <f>INDEX('Copilot 5o'!S:S,MATCH('All by All'!A37,'Copilot 4o'!A:A,0))</f>
        <v>Case</v>
      </c>
      <c r="F37" t="str">
        <f>INDEX(Gemini!I:I,MATCH('All by All'!A37,Gemini!A:A,0))</f>
        <v>Case</v>
      </c>
      <c r="G37" t="str">
        <f>INDEX('Clinician-APU'!U:U,MATCH('All by All'!A37,'Clinician-APU'!C:C,0))</f>
        <v>NON-CASE</v>
      </c>
    </row>
    <row r="38" spans="1:7" hidden="1" x14ac:dyDescent="0.2">
      <c r="A38">
        <v>401410971</v>
      </c>
      <c r="B38" t="str">
        <f>INDEX('Clinician-DPA'!S:S,MATCH('All by All'!A38,'Clinician-DPA'!A:A,0))</f>
        <v>Probable (treatment-only)</v>
      </c>
      <c r="C38" t="str">
        <f>INDEX('GPT 5o'!S:S,MATCH('All by All'!A38,'GPT 5o'!A:A,0))</f>
        <v>No Case</v>
      </c>
      <c r="D38" t="str">
        <f>INDEX('Copilot 4o'!S:S,MATCH('All by All'!A38,'Copilot 4o'!A:A,0))</f>
        <v>Probable</v>
      </c>
      <c r="E38" t="str">
        <f>INDEX('Copilot 5o'!S:S,MATCH('All by All'!A38,'Copilot 4o'!A:A,0))</f>
        <v>Probable</v>
      </c>
      <c r="F38" t="e">
        <f>INDEX(Gemini!I:I,MATCH('All by All'!A38,Gemini!A:A,0))</f>
        <v>#N/A</v>
      </c>
      <c r="G38" t="str">
        <f>INDEX('Clinician-APU'!U:U,MATCH('All by All'!A38,'Clinician-APU'!C:C,0))</f>
        <v>PROBABLE</v>
      </c>
    </row>
    <row r="39" spans="1:7" hidden="1" x14ac:dyDescent="0.2">
      <c r="A39">
        <v>461910966</v>
      </c>
      <c r="B39" t="str">
        <f>INDEX('Clinician-DPA'!S:S,MATCH('All by All'!A39,'Clinician-DPA'!A:A,0))</f>
        <v>Probable (treatment-only)</v>
      </c>
      <c r="C39" t="str">
        <f>INDEX('GPT 5o'!S:S,MATCH('All by All'!A39,'GPT 5o'!A:A,0))</f>
        <v>No Case</v>
      </c>
      <c r="D39" t="str">
        <f>INDEX('Copilot 4o'!S:S,MATCH('All by All'!A39,'Copilot 4o'!A:A,0))</f>
        <v>Probable</v>
      </c>
      <c r="E39" t="str">
        <f>INDEX('Copilot 5o'!S:S,MATCH('All by All'!A39,'Copilot 4o'!A:A,0))</f>
        <v>Probable</v>
      </c>
      <c r="F39" t="e">
        <f>INDEX(Gemini!I:I,MATCH('All by All'!A39,Gemini!A:A,0))</f>
        <v>#N/A</v>
      </c>
      <c r="G39" t="str">
        <f>INDEX('Clinician-APU'!U:U,MATCH('All by All'!A39,'Clinician-APU'!C:C,0))</f>
        <v>PROBABLE</v>
      </c>
    </row>
    <row r="40" spans="1:7" hidden="1" x14ac:dyDescent="0.2">
      <c r="A40">
        <v>476910620</v>
      </c>
      <c r="B40" t="str">
        <f>INDEX('Clinician-DPA'!S:S,MATCH('All by All'!A40,'Clinician-DPA'!A:A,0))</f>
        <v>Case</v>
      </c>
      <c r="C40" t="str">
        <f>INDEX('GPT 5o'!S:S,MATCH('All by All'!A40,'GPT 5o'!A:A,0))</f>
        <v>No Case</v>
      </c>
      <c r="D40" t="str">
        <f>INDEX('Copilot 4o'!S:S,MATCH('All by All'!A40,'Copilot 4o'!A:A,0))</f>
        <v>Probable</v>
      </c>
      <c r="E40" t="str">
        <f>INDEX('Copilot 5o'!S:S,MATCH('All by All'!A40,'Copilot 4o'!A:A,0))</f>
        <v>Probable</v>
      </c>
      <c r="F40" t="e">
        <f>INDEX(Gemini!I:I,MATCH('All by All'!A40,Gemini!A:A,0))</f>
        <v>#N/A</v>
      </c>
      <c r="G40" t="str">
        <f>INDEX('Clinician-APU'!U:U,MATCH('All by All'!A40,'Clinician-APU'!C:C,0))</f>
        <v>CASE</v>
      </c>
    </row>
    <row r="41" spans="1:7" hidden="1" x14ac:dyDescent="0.2">
      <c r="A41">
        <v>553410900</v>
      </c>
      <c r="B41" t="str">
        <f>INDEX('Clinician-DPA'!S:S,MATCH('All by All'!A41,'Clinician-DPA'!A:A,0))</f>
        <v>Probable (treatment-only)</v>
      </c>
      <c r="C41" t="str">
        <f>INDEX('GPT 5o'!S:S,MATCH('All by All'!A41,'GPT 5o'!A:A,0))</f>
        <v>No Case</v>
      </c>
      <c r="D41" t="str">
        <f>INDEX('Copilot 4o'!S:S,MATCH('All by All'!A41,'Copilot 4o'!A:A,0))</f>
        <v>Probable</v>
      </c>
      <c r="E41" t="str">
        <f>INDEX('Copilot 5o'!S:S,MATCH('All by All'!A41,'Copilot 4o'!A:A,0))</f>
        <v>Probable</v>
      </c>
      <c r="F41" t="e">
        <f>INDEX(Gemini!I:I,MATCH('All by All'!A41,Gemini!A:A,0))</f>
        <v>#N/A</v>
      </c>
      <c r="G41" t="str">
        <f>INDEX('Clinician-APU'!U:U,MATCH('All by All'!A41,'Clinician-APU'!C:C,0))</f>
        <v>PROBABLE</v>
      </c>
    </row>
    <row r="42" spans="1:7" hidden="1" x14ac:dyDescent="0.2">
      <c r="A42">
        <v>679310873</v>
      </c>
      <c r="B42" t="str">
        <f>INDEX('Clinician-DPA'!S:S,MATCH('All by All'!A42,'Clinician-DPA'!A:A,0))</f>
        <v>Case</v>
      </c>
      <c r="C42" t="str">
        <f>INDEX('GPT 5o'!S:S,MATCH('All by All'!A42,'GPT 5o'!A:A,0))</f>
        <v>No Case</v>
      </c>
      <c r="D42" t="str">
        <f>INDEX('Copilot 4o'!S:S,MATCH('All by All'!A42,'Copilot 4o'!A:A,0))</f>
        <v>Probable</v>
      </c>
      <c r="E42" t="str">
        <f>INDEX('Copilot 5o'!S:S,MATCH('All by All'!A42,'Copilot 4o'!A:A,0))</f>
        <v>Case</v>
      </c>
      <c r="F42" t="e">
        <f>INDEX(Gemini!I:I,MATCH('All by All'!A42,Gemini!A:A,0))</f>
        <v>#N/A</v>
      </c>
      <c r="G42" t="str">
        <f>INDEX('Clinician-APU'!U:U,MATCH('All by All'!A42,'Clinician-APU'!C:C,0))</f>
        <v>CASE</v>
      </c>
    </row>
    <row r="43" spans="1:7" hidden="1" x14ac:dyDescent="0.2">
      <c r="A43">
        <v>726310128</v>
      </c>
      <c r="B43" t="str">
        <f>INDEX('Clinician-DPA'!S:S,MATCH('All by All'!A43,'Clinician-DPA'!A:A,0))</f>
        <v>Probable (treatment-only)</v>
      </c>
      <c r="C43" t="str">
        <f>INDEX('GPT 5o'!S:S,MATCH('All by All'!A43,'GPT 5o'!A:A,0))</f>
        <v>No Case</v>
      </c>
      <c r="D43" t="str">
        <f>INDEX('Copilot 4o'!S:S,MATCH('All by All'!A43,'Copilot 4o'!A:A,0))</f>
        <v>Probable</v>
      </c>
      <c r="E43" t="str">
        <f>INDEX('Copilot 5o'!S:S,MATCH('All by All'!A43,'Copilot 4o'!A:A,0))</f>
        <v>Probable</v>
      </c>
      <c r="F43" t="e">
        <f>INDEX(Gemini!I:I,MATCH('All by All'!A43,Gemini!A:A,0))</f>
        <v>#N/A</v>
      </c>
      <c r="G43" t="str">
        <f>INDEX('Clinician-APU'!U:U,MATCH('All by All'!A43,'Clinician-APU'!C:C,0))</f>
        <v>PROBABLE</v>
      </c>
    </row>
    <row r="44" spans="1:7" hidden="1" x14ac:dyDescent="0.2">
      <c r="A44">
        <v>740710960</v>
      </c>
      <c r="B44" t="str">
        <f>INDEX('Clinician-DPA'!S:S,MATCH('All by All'!A44,'Clinician-DPA'!A:A,0))</f>
        <v>Case</v>
      </c>
      <c r="C44" t="str">
        <f>INDEX('GPT 5o'!S:S,MATCH('All by All'!A44,'GPT 5o'!A:A,0))</f>
        <v>No Case</v>
      </c>
      <c r="D44" t="str">
        <f>INDEX('Copilot 4o'!S:S,MATCH('All by All'!A44,'Copilot 4o'!A:A,0))</f>
        <v>Probable</v>
      </c>
      <c r="E44" t="str">
        <f>INDEX('Copilot 5o'!S:S,MATCH('All by All'!A44,'Copilot 4o'!A:A,0))</f>
        <v>Case</v>
      </c>
      <c r="F44" t="e">
        <f>INDEX(Gemini!I:I,MATCH('All by All'!A44,Gemini!A:A,0))</f>
        <v>#N/A</v>
      </c>
      <c r="G44" t="str">
        <f>INDEX('Clinician-APU'!U:U,MATCH('All by All'!A44,'Clinician-APU'!C:C,0))</f>
        <v>CASE</v>
      </c>
    </row>
    <row r="45" spans="1:7" hidden="1" x14ac:dyDescent="0.2">
      <c r="A45">
        <v>758210667</v>
      </c>
      <c r="B45" t="str">
        <f>INDEX('Clinician-DPA'!S:S,MATCH('All by All'!A45,'Clinician-DPA'!A:A,0))</f>
        <v>Probable (treatment-only)</v>
      </c>
      <c r="C45" t="str">
        <f>INDEX('GPT 5o'!S:S,MATCH('All by All'!A45,'GPT 5o'!A:A,0))</f>
        <v>No Case</v>
      </c>
      <c r="D45" t="str">
        <f>INDEX('Copilot 4o'!S:S,MATCH('All by All'!A45,'Copilot 4o'!A:A,0))</f>
        <v>Probable</v>
      </c>
      <c r="E45" t="str">
        <f>INDEX('Copilot 5o'!S:S,MATCH('All by All'!A45,'Copilot 4o'!A:A,0))</f>
        <v>Probable</v>
      </c>
      <c r="F45" t="e">
        <f>INDEX(Gemini!I:I,MATCH('All by All'!A45,Gemini!A:A,0))</f>
        <v>#N/A</v>
      </c>
      <c r="G45" t="str">
        <f>INDEX('Clinician-APU'!U:U,MATCH('All by All'!A45,'Clinician-APU'!C:C,0))</f>
        <v>CASE</v>
      </c>
    </row>
    <row r="46" spans="1:7" hidden="1" x14ac:dyDescent="0.2">
      <c r="A46">
        <v>772810288</v>
      </c>
      <c r="B46" t="str">
        <f>INDEX('Clinician-DPA'!S:S,MATCH('All by All'!A46,'Clinician-DPA'!A:A,0))</f>
        <v>Probable (treatment-only)</v>
      </c>
      <c r="C46" t="str">
        <f>INDEX('GPT 5o'!S:S,MATCH('All by All'!A46,'GPT 5o'!A:A,0))</f>
        <v>No Case</v>
      </c>
      <c r="D46" t="str">
        <f>INDEX('Copilot 4o'!S:S,MATCH('All by All'!A46,'Copilot 4o'!A:A,0))</f>
        <v>Probable</v>
      </c>
      <c r="E46" t="str">
        <f>INDEX('Copilot 5o'!S:S,MATCH('All by All'!A46,'Copilot 4o'!A:A,0))</f>
        <v>Probable</v>
      </c>
      <c r="F46" t="e">
        <f>INDEX(Gemini!I:I,MATCH('All by All'!A46,Gemini!A:A,0))</f>
        <v>#N/A</v>
      </c>
      <c r="G46" t="str">
        <f>INDEX('Clinician-APU'!U:U,MATCH('All by All'!A46,'Clinician-APU'!C:C,0))</f>
        <v>CASE</v>
      </c>
    </row>
    <row r="47" spans="1:7" x14ac:dyDescent="0.2">
      <c r="A47">
        <v>795410971</v>
      </c>
      <c r="B47" t="str">
        <f>INDEX('Clinician-DPA'!S:S,MATCH('All by All'!A47,'Clinician-DPA'!A:A,0))</f>
        <v>No case</v>
      </c>
      <c r="C47" t="str">
        <f>INDEX('GPT 5o'!S:S,MATCH('All by All'!A47,'GPT 5o'!A:A,0))</f>
        <v>No Case</v>
      </c>
      <c r="D47" t="str">
        <f>INDEX('Copilot 4o'!S:S,MATCH('All by All'!A47,'Copilot 4o'!A:A,0))</f>
        <v>No Case</v>
      </c>
      <c r="E47" t="str">
        <f>INDEX('Copilot 5o'!S:S,MATCH('All by All'!A47,'Copilot 4o'!A:A,0))</f>
        <v>No Case</v>
      </c>
      <c r="F47" t="str">
        <f>INDEX(Gemini!I:I,MATCH('All by All'!A47,Gemini!A:A,0))</f>
        <v>No Case</v>
      </c>
      <c r="G47" t="str">
        <f>INDEX('Clinician-APU'!U:U,MATCH('All by All'!A47,'Clinician-APU'!C:C,0))</f>
        <v>PROBABLE</v>
      </c>
    </row>
    <row r="48" spans="1:7" x14ac:dyDescent="0.2">
      <c r="A48">
        <v>826210737</v>
      </c>
      <c r="B48" t="str">
        <f>INDEX('Clinician-DPA'!S:S,MATCH('All by All'!A48,'Clinician-DPA'!A:A,0))</f>
        <v>Probable (treatment-only)</v>
      </c>
      <c r="C48" t="str">
        <f>INDEX('GPT 5o'!S:S,MATCH('All by All'!A48,'GPT 5o'!A:A,0))</f>
        <v>No Case</v>
      </c>
      <c r="D48" t="str">
        <f>INDEX('Copilot 4o'!S:S,MATCH('All by All'!A48,'Copilot 4o'!A:A,0))</f>
        <v>Probable</v>
      </c>
      <c r="E48" t="str">
        <f>INDEX('Copilot 5o'!S:S,MATCH('All by All'!A48,'Copilot 4o'!A:A,0))</f>
        <v>Probable</v>
      </c>
      <c r="F48" t="str">
        <f>INDEX(Gemini!I:I,MATCH('All by All'!A48,Gemini!A:A,0))</f>
        <v>Probable</v>
      </c>
      <c r="G48" t="str">
        <f>INDEX('Clinician-APU'!U:U,MATCH('All by All'!A48,'Clinician-APU'!C:C,0))</f>
        <v>CASE</v>
      </c>
    </row>
    <row r="49" spans="1:7" x14ac:dyDescent="0.2">
      <c r="A49">
        <v>831210567</v>
      </c>
      <c r="B49" t="str">
        <f>INDEX('Clinician-DPA'!S:S,MATCH('All by All'!A49,'Clinician-DPA'!A:A,0))</f>
        <v>Case</v>
      </c>
      <c r="C49" t="str">
        <f>INDEX('GPT 5o'!S:S,MATCH('All by All'!A49,'GPT 5o'!A:A,0))</f>
        <v>No Case</v>
      </c>
      <c r="D49" t="str">
        <f>INDEX('Copilot 4o'!S:S,MATCH('All by All'!A49,'Copilot 4o'!A:A,0))</f>
        <v>Probable</v>
      </c>
      <c r="E49" t="str">
        <f>INDEX('Copilot 5o'!S:S,MATCH('All by All'!A49,'Copilot 4o'!A:A,0))</f>
        <v>Case</v>
      </c>
      <c r="F49" t="str">
        <f>INDEX(Gemini!I:I,MATCH('All by All'!A49,Gemini!A:A,0))</f>
        <v>Case</v>
      </c>
      <c r="G49" t="str">
        <f>INDEX('Clinician-APU'!U:U,MATCH('All by All'!A49,'Clinician-APU'!C:C,0))</f>
        <v>CASE</v>
      </c>
    </row>
    <row r="50" spans="1:7" hidden="1" x14ac:dyDescent="0.2">
      <c r="A50">
        <v>878310732</v>
      </c>
      <c r="B50" t="str">
        <f>INDEX('Clinician-DPA'!S:S,MATCH('All by All'!A50,'Clinician-DPA'!A:A,0))</f>
        <v>No case</v>
      </c>
      <c r="C50" t="str">
        <f>INDEX('GPT 5o'!S:S,MATCH('All by All'!A50,'GPT 5o'!A:A,0))</f>
        <v>No Case</v>
      </c>
      <c r="D50" t="str">
        <f>INDEX('Copilot 4o'!S:S,MATCH('All by All'!A50,'Copilot 4o'!A:A,0))</f>
        <v>No Case</v>
      </c>
      <c r="E50" t="str">
        <f>INDEX('Copilot 5o'!S:S,MATCH('All by All'!A50,'Copilot 4o'!A:A,0))</f>
        <v>No Case</v>
      </c>
      <c r="F50" t="e">
        <f>INDEX(Gemini!I:I,MATCH('All by All'!A50,Gemini!A:A,0))</f>
        <v>#N/A</v>
      </c>
      <c r="G50" t="str">
        <f>INDEX('Clinician-APU'!U:U,MATCH('All by All'!A50,'Clinician-APU'!C:C,0))</f>
        <v>PROBABLE</v>
      </c>
    </row>
    <row r="51" spans="1:7" x14ac:dyDescent="0.2">
      <c r="A51">
        <v>880910162</v>
      </c>
      <c r="B51" t="str">
        <f>INDEX('Clinician-DPA'!S:S,MATCH('All by All'!A51,'Clinician-DPA'!A:A,0))</f>
        <v>Probable (treatment-only)</v>
      </c>
      <c r="C51" t="str">
        <f>INDEX('GPT 5o'!S:S,MATCH('All by All'!A51,'GPT 5o'!A:A,0))</f>
        <v>No Case</v>
      </c>
      <c r="D51" t="str">
        <f>INDEX('Copilot 4o'!S:S,MATCH('All by All'!A51,'Copilot 4o'!A:A,0))</f>
        <v>Probable</v>
      </c>
      <c r="E51" t="str">
        <f>INDEX('Copilot 5o'!S:S,MATCH('All by All'!A51,'Copilot 4o'!A:A,0))</f>
        <v>Probable</v>
      </c>
      <c r="F51" t="str">
        <f>INDEX(Gemini!I:I,MATCH('All by All'!A51,Gemini!A:A,0))</f>
        <v>Probable</v>
      </c>
      <c r="G51" t="str">
        <f>INDEX('Clinician-APU'!U:U,MATCH('All by All'!A51,'Clinician-APU'!C:C,0))</f>
        <v>PROBABLE</v>
      </c>
    </row>
    <row r="52" spans="1:7" hidden="1" x14ac:dyDescent="0.2">
      <c r="A52">
        <v>888710791</v>
      </c>
      <c r="B52" t="str">
        <f>INDEX('Clinician-DPA'!S:S,MATCH('All by All'!A52,'Clinician-DPA'!A:A,0))</f>
        <v>Probable (treatment-only)</v>
      </c>
      <c r="C52" t="str">
        <f>INDEX('GPT 5o'!S:S,MATCH('All by All'!A52,'GPT 5o'!A:A,0))</f>
        <v>No Case</v>
      </c>
      <c r="D52" t="str">
        <f>INDEX('Copilot 4o'!S:S,MATCH('All by All'!A52,'Copilot 4o'!A:A,0))</f>
        <v>Probable</v>
      </c>
      <c r="E52" t="str">
        <f>INDEX('Copilot 5o'!S:S,MATCH('All by All'!A52,'Copilot 4o'!A:A,0))</f>
        <v>Probable</v>
      </c>
      <c r="F52" t="e">
        <f>INDEX(Gemini!I:I,MATCH('All by All'!A52,Gemini!A:A,0))</f>
        <v>#N/A</v>
      </c>
      <c r="G52" t="str">
        <f>INDEX('Clinician-APU'!U:U,MATCH('All by All'!A52,'Clinician-APU'!C:C,0))</f>
        <v>CASE</v>
      </c>
    </row>
    <row r="53" spans="1:7" hidden="1" x14ac:dyDescent="0.2">
      <c r="A53">
        <v>932610840</v>
      </c>
      <c r="B53" t="str">
        <f>INDEX('Clinician-DPA'!S:S,MATCH('All by All'!A53,'Clinician-DPA'!A:A,0))</f>
        <v>No case</v>
      </c>
      <c r="C53" t="str">
        <f>INDEX('GPT 5o'!S:S,MATCH('All by All'!A53,'GPT 5o'!A:A,0))</f>
        <v>No Case</v>
      </c>
      <c r="D53" t="str">
        <f>INDEX('Copilot 4o'!S:S,MATCH('All by All'!A53,'Copilot 4o'!A:A,0))</f>
        <v>Probable</v>
      </c>
      <c r="E53" t="str">
        <f>INDEX('Copilot 5o'!S:S,MATCH('All by All'!A53,'Copilot 4o'!A:A,0))</f>
        <v>No Case</v>
      </c>
      <c r="F53" t="e">
        <f>INDEX(Gemini!I:I,MATCH('All by All'!A53,Gemini!A:A,0))</f>
        <v>#N/A</v>
      </c>
      <c r="G53" t="str">
        <f>INDEX('Clinician-APU'!U:U,MATCH('All by All'!A53,'Clinician-APU'!C:C,0))</f>
        <v>NON-CASE</v>
      </c>
    </row>
    <row r="54" spans="1:7" hidden="1" x14ac:dyDescent="0.2">
      <c r="A54">
        <v>954410764</v>
      </c>
      <c r="B54" t="str">
        <f>INDEX('Clinician-DPA'!S:S,MATCH('All by All'!A54,'Clinician-DPA'!A:A,0))</f>
        <v>Probable (treatment-only)</v>
      </c>
      <c r="C54" t="str">
        <f>INDEX('GPT 5o'!S:S,MATCH('All by All'!A54,'GPT 5o'!A:A,0))</f>
        <v>No Case</v>
      </c>
      <c r="D54" t="str">
        <f>INDEX('Copilot 4o'!S:S,MATCH('All by All'!A54,'Copilot 4o'!A:A,0))</f>
        <v>Probable</v>
      </c>
      <c r="E54" t="str">
        <f>INDEX('Copilot 5o'!S:S,MATCH('All by All'!A54,'Copilot 4o'!A:A,0))</f>
        <v>Probable</v>
      </c>
      <c r="F54" t="e">
        <f>INDEX(Gemini!I:I,MATCH('All by All'!A54,Gemini!A:A,0))</f>
        <v>#N/A</v>
      </c>
      <c r="G54" t="str">
        <f>INDEX('Clinician-APU'!U:U,MATCH('All by All'!A54,'Clinician-APU'!C:C,0))</f>
        <v>PROBABLE</v>
      </c>
    </row>
    <row r="55" spans="1:7" hidden="1" x14ac:dyDescent="0.2">
      <c r="A55">
        <v>959010761</v>
      </c>
      <c r="B55" t="str">
        <f>INDEX('Clinician-DPA'!S:S,MATCH('All by All'!A55,'Clinician-DPA'!A:A,0))</f>
        <v>Case</v>
      </c>
      <c r="C55" t="str">
        <f>INDEX('GPT 5o'!S:S,MATCH('All by All'!A55,'GPT 5o'!A:A,0))</f>
        <v>No Case</v>
      </c>
      <c r="D55" t="str">
        <f>INDEX('Copilot 4o'!S:S,MATCH('All by All'!A55,'Copilot 4o'!A:A,0))</f>
        <v>Probable</v>
      </c>
      <c r="E55" t="str">
        <f>INDEX('Copilot 5o'!S:S,MATCH('All by All'!A55,'Copilot 4o'!A:A,0))</f>
        <v>Case</v>
      </c>
      <c r="F55" t="e">
        <f>INDEX(Gemini!I:I,MATCH('All by All'!A55,Gemini!A:A,0))</f>
        <v>#N/A</v>
      </c>
      <c r="G55" t="str">
        <f>INDEX('Clinician-APU'!U:U,MATCH('All by All'!A55,'Clinician-APU'!C:C,0))</f>
        <v>CASE</v>
      </c>
    </row>
    <row r="56" spans="1:7" hidden="1" x14ac:dyDescent="0.2">
      <c r="A56">
        <v>1026210195</v>
      </c>
      <c r="B56" t="str">
        <f>INDEX('Clinician-DPA'!S:S,MATCH('All by All'!A56,'Clinician-DPA'!A:A,0))</f>
        <v>Case</v>
      </c>
      <c r="C56" t="str">
        <f>INDEX('GPT 5o'!S:S,MATCH('All by All'!A56,'GPT 5o'!A:A,0))</f>
        <v>No Case</v>
      </c>
      <c r="D56" t="str">
        <f>INDEX('Copilot 4o'!S:S,MATCH('All by All'!A56,'Copilot 4o'!A:A,0))</f>
        <v>Probable</v>
      </c>
      <c r="E56" t="str">
        <f>INDEX('Copilot 5o'!S:S,MATCH('All by All'!A56,'Copilot 4o'!A:A,0))</f>
        <v>Case</v>
      </c>
      <c r="F56" t="e">
        <f>INDEX(Gemini!I:I,MATCH('All by All'!A56,Gemini!A:A,0))</f>
        <v>#N/A</v>
      </c>
      <c r="G56" t="str">
        <f>INDEX('Clinician-APU'!U:U,MATCH('All by All'!A56,'Clinician-APU'!C:C,0))</f>
        <v>NON-CASE</v>
      </c>
    </row>
    <row r="57" spans="1:7" hidden="1" x14ac:dyDescent="0.2">
      <c r="A57">
        <v>1084310679</v>
      </c>
      <c r="B57" t="str">
        <f>INDEX('Clinician-DPA'!S:S,MATCH('All by All'!A57,'Clinician-DPA'!A:A,0))</f>
        <v>Probable (treatment-only)</v>
      </c>
      <c r="C57" t="str">
        <f>INDEX('GPT 5o'!S:S,MATCH('All by All'!A57,'GPT 5o'!A:A,0))</f>
        <v>No Case</v>
      </c>
      <c r="D57" t="str">
        <f>INDEX('Copilot 4o'!S:S,MATCH('All by All'!A57,'Copilot 4o'!A:A,0))</f>
        <v>Probable</v>
      </c>
      <c r="E57" t="str">
        <f>INDEX('Copilot 5o'!S:S,MATCH('All by All'!A57,'Copilot 4o'!A:A,0))</f>
        <v>Probable</v>
      </c>
      <c r="F57" t="e">
        <f>INDEX(Gemini!I:I,MATCH('All by All'!A57,Gemini!A:A,0))</f>
        <v>#N/A</v>
      </c>
      <c r="G57" t="str">
        <f>INDEX('Clinician-APU'!U:U,MATCH('All by All'!A57,'Clinician-APU'!C:C,0))</f>
        <v>PROBABLE</v>
      </c>
    </row>
    <row r="58" spans="1:7" hidden="1" x14ac:dyDescent="0.2">
      <c r="A58">
        <v>1086910999</v>
      </c>
      <c r="B58" t="str">
        <f>INDEX('Clinician-DPA'!S:S,MATCH('All by All'!A58,'Clinician-DPA'!A:A,0))</f>
        <v>Probable (treatment-only)</v>
      </c>
      <c r="C58" t="str">
        <f>INDEX('GPT 5o'!S:S,MATCH('All by All'!A58,'GPT 5o'!A:A,0))</f>
        <v>No Case</v>
      </c>
      <c r="D58" t="str">
        <f>INDEX('Copilot 4o'!S:S,MATCH('All by All'!A58,'Copilot 4o'!A:A,0))</f>
        <v>Probable</v>
      </c>
      <c r="E58" t="str">
        <f>INDEX('Copilot 5o'!S:S,MATCH('All by All'!A58,'Copilot 4o'!A:A,0))</f>
        <v>Probable</v>
      </c>
      <c r="F58" t="e">
        <f>INDEX(Gemini!I:I,MATCH('All by All'!A58,Gemini!A:A,0))</f>
        <v>#N/A</v>
      </c>
      <c r="G58" t="str">
        <f>INDEX('Clinician-APU'!U:U,MATCH('All by All'!A58,'Clinician-APU'!C:C,0))</f>
        <v>PROBABLE</v>
      </c>
    </row>
    <row r="59" spans="1:7" hidden="1" x14ac:dyDescent="0.2">
      <c r="A59">
        <v>1112310707</v>
      </c>
      <c r="B59" t="str">
        <f>INDEX('Clinician-DPA'!S:S,MATCH('All by All'!A59,'Clinician-DPA'!A:A,0))</f>
        <v>Probable (treatment-only)</v>
      </c>
      <c r="C59" t="str">
        <f>INDEX('GPT 5o'!S:S,MATCH('All by All'!A59,'GPT 5o'!A:A,0))</f>
        <v>No Case</v>
      </c>
      <c r="D59" t="str">
        <f>INDEX('Copilot 4o'!S:S,MATCH('All by All'!A59,'Copilot 4o'!A:A,0))</f>
        <v>Probable</v>
      </c>
      <c r="E59" t="str">
        <f>INDEX('Copilot 5o'!S:S,MATCH('All by All'!A59,'Copilot 4o'!A:A,0))</f>
        <v>Probable</v>
      </c>
      <c r="F59" t="e">
        <f>INDEX(Gemini!I:I,MATCH('All by All'!A59,Gemini!A:A,0))</f>
        <v>#N/A</v>
      </c>
      <c r="G59" t="str">
        <f>INDEX('Clinician-APU'!U:U,MATCH('All by All'!A59,'Clinician-APU'!C:C,0))</f>
        <v>PROBABLE</v>
      </c>
    </row>
    <row r="60" spans="1:7" hidden="1" x14ac:dyDescent="0.2">
      <c r="A60">
        <v>1146710626</v>
      </c>
      <c r="B60" t="str">
        <f>INDEX('Clinician-DPA'!S:S,MATCH('All by All'!A60,'Clinician-DPA'!A:A,0))</f>
        <v>Probable (treatment-only)</v>
      </c>
      <c r="C60" t="str">
        <f>INDEX('GPT 5o'!S:S,MATCH('All by All'!A60,'GPT 5o'!A:A,0))</f>
        <v>No Case</v>
      </c>
      <c r="D60" t="str">
        <f>INDEX('Copilot 4o'!S:S,MATCH('All by All'!A60,'Copilot 4o'!A:A,0))</f>
        <v>Probable</v>
      </c>
      <c r="E60" t="str">
        <f>INDEX('Copilot 5o'!S:S,MATCH('All by All'!A60,'Copilot 4o'!A:A,0))</f>
        <v>Probable</v>
      </c>
      <c r="F60" t="e">
        <f>INDEX(Gemini!I:I,MATCH('All by All'!A60,Gemini!A:A,0))</f>
        <v>#N/A</v>
      </c>
      <c r="G60" t="str">
        <f>INDEX('Clinician-APU'!U:U,MATCH('All by All'!A60,'Clinician-APU'!C:C,0))</f>
        <v>PROBABLE</v>
      </c>
    </row>
    <row r="61" spans="1:7" hidden="1" x14ac:dyDescent="0.2">
      <c r="A61">
        <v>1244410740</v>
      </c>
      <c r="B61" t="str">
        <f>INDEX('Clinician-DPA'!S:S,MATCH('All by All'!A61,'Clinician-DPA'!A:A,0))</f>
        <v>Probable (treatment-only)</v>
      </c>
      <c r="C61" t="str">
        <f>INDEX('GPT 5o'!S:S,MATCH('All by All'!A61,'GPT 5o'!A:A,0))</f>
        <v>No Case</v>
      </c>
      <c r="D61" t="str">
        <f>INDEX('Copilot 4o'!S:S,MATCH('All by All'!A61,'Copilot 4o'!A:A,0))</f>
        <v>Probable</v>
      </c>
      <c r="E61" t="str">
        <f>INDEX('Copilot 5o'!S:S,MATCH('All by All'!A61,'Copilot 4o'!A:A,0))</f>
        <v>Probable</v>
      </c>
      <c r="F61" t="e">
        <f>INDEX(Gemini!I:I,MATCH('All by All'!A61,Gemini!A:A,0))</f>
        <v>#N/A</v>
      </c>
      <c r="G61" t="str">
        <f>INDEX('Clinician-APU'!U:U,MATCH('All by All'!A61,'Clinician-APU'!C:C,0))</f>
        <v>PROBABLE</v>
      </c>
    </row>
    <row r="62" spans="1:7" hidden="1" x14ac:dyDescent="0.2">
      <c r="A62">
        <v>1292410740</v>
      </c>
      <c r="B62" t="str">
        <f>INDEX('Clinician-DPA'!S:S,MATCH('All by All'!A62,'Clinician-DPA'!A:A,0))</f>
        <v>Case</v>
      </c>
      <c r="C62" t="str">
        <f>INDEX('GPT 5o'!S:S,MATCH('All by All'!A62,'GPT 5o'!A:A,0))</f>
        <v>No Case</v>
      </c>
      <c r="D62" t="str">
        <f>INDEX('Copilot 4o'!S:S,MATCH('All by All'!A62,'Copilot 4o'!A:A,0))</f>
        <v>Probable</v>
      </c>
      <c r="E62" t="str">
        <f>INDEX('Copilot 5o'!S:S,MATCH('All by All'!A62,'Copilot 4o'!A:A,0))</f>
        <v>Case</v>
      </c>
      <c r="F62" t="e">
        <f>INDEX(Gemini!I:I,MATCH('All by All'!A62,Gemini!A:A,0))</f>
        <v>#N/A</v>
      </c>
      <c r="G62" t="str">
        <f>INDEX('Clinician-APU'!U:U,MATCH('All by All'!A62,'Clinician-APU'!C:C,0))</f>
        <v>CASE</v>
      </c>
    </row>
    <row r="63" spans="1:7" hidden="1" x14ac:dyDescent="0.2">
      <c r="A63">
        <v>1344710011</v>
      </c>
      <c r="B63" t="str">
        <f>INDEX('Clinician-DPA'!S:S,MATCH('All by All'!A63,'Clinician-DPA'!A:A,0))</f>
        <v>Case</v>
      </c>
      <c r="C63" t="str">
        <f>INDEX('GPT 5o'!S:S,MATCH('All by All'!A63,'GPT 5o'!A:A,0))</f>
        <v>No Case</v>
      </c>
      <c r="D63" t="str">
        <f>INDEX('Copilot 4o'!S:S,MATCH('All by All'!A63,'Copilot 4o'!A:A,0))</f>
        <v>Probable</v>
      </c>
      <c r="E63" t="str">
        <f>INDEX('Copilot 5o'!S:S,MATCH('All by All'!A63,'Copilot 4o'!A:A,0))</f>
        <v>Case</v>
      </c>
      <c r="F63" t="e">
        <f>INDEX(Gemini!I:I,MATCH('All by All'!A63,Gemini!A:A,0))</f>
        <v>#N/A</v>
      </c>
      <c r="G63" t="str">
        <f>INDEX('Clinician-APU'!U:U,MATCH('All by All'!A63,'Clinician-APU'!C:C,0))</f>
        <v>CASE</v>
      </c>
    </row>
    <row r="64" spans="1:7" hidden="1" x14ac:dyDescent="0.2">
      <c r="A64">
        <v>1419010939</v>
      </c>
      <c r="B64" t="str">
        <f>INDEX('Clinician-DPA'!S:S,MATCH('All by All'!A64,'Clinician-DPA'!A:A,0))</f>
        <v>Case</v>
      </c>
      <c r="C64" t="str">
        <f>INDEX('GPT 5o'!S:S,MATCH('All by All'!A64,'GPT 5o'!A:A,0))</f>
        <v>No Case</v>
      </c>
      <c r="D64" t="str">
        <f>INDEX('Copilot 4o'!S:S,MATCH('All by All'!A64,'Copilot 4o'!A:A,0))</f>
        <v>Case</v>
      </c>
      <c r="E64" t="str">
        <f>INDEX('Copilot 5o'!S:S,MATCH('All by All'!A64,'Copilot 4o'!A:A,0))</f>
        <v>Case</v>
      </c>
      <c r="F64" t="e">
        <f>INDEX(Gemini!I:I,MATCH('All by All'!A64,Gemini!A:A,0))</f>
        <v>#N/A</v>
      </c>
      <c r="G64" t="str">
        <f>INDEX('Clinician-APU'!U:U,MATCH('All by All'!A64,'Clinician-APU'!C:C,0))</f>
        <v>PROBABLE</v>
      </c>
    </row>
    <row r="65" spans="1:7" x14ac:dyDescent="0.2">
      <c r="A65">
        <v>1591110113</v>
      </c>
      <c r="B65" t="str">
        <f>INDEX('Clinician-DPA'!S:S,MATCH('All by All'!A65,'Clinician-DPA'!A:A,0))</f>
        <v>Probable (treatment-only)</v>
      </c>
      <c r="C65" t="str">
        <f>INDEX('GPT 5o'!S:S,MATCH('All by All'!A65,'GPT 5o'!A:A,0))</f>
        <v>No Case</v>
      </c>
      <c r="D65" t="str">
        <f>INDEX('Copilot 4o'!S:S,MATCH('All by All'!A65,'Copilot 4o'!A:A,0))</f>
        <v>Probable</v>
      </c>
      <c r="E65" t="str">
        <f>INDEX('Copilot 5o'!S:S,MATCH('All by All'!A65,'Copilot 4o'!A:A,0))</f>
        <v>Probable</v>
      </c>
      <c r="F65" t="str">
        <f>INDEX(Gemini!I:I,MATCH('All by All'!A65,Gemini!A:A,0))</f>
        <v>Probable</v>
      </c>
      <c r="G65" t="str">
        <f>INDEX('Clinician-APU'!U:U,MATCH('All by All'!A65,'Clinician-APU'!C:C,0))</f>
        <v>PROBABLE</v>
      </c>
    </row>
    <row r="66" spans="1:7" x14ac:dyDescent="0.2">
      <c r="A66">
        <v>1654310321</v>
      </c>
      <c r="B66" t="str">
        <f>INDEX('Clinician-DPA'!S:S,MATCH('All by All'!A66,'Clinician-DPA'!A:A,0))</f>
        <v>Probable (treatment-only)</v>
      </c>
      <c r="C66" t="str">
        <f>INDEX('GPT 5o'!S:S,MATCH('All by All'!A66,'GPT 5o'!A:A,0))</f>
        <v>No Case</v>
      </c>
      <c r="D66" t="str">
        <f>INDEX('Copilot 4o'!S:S,MATCH('All by All'!A66,'Copilot 4o'!A:A,0))</f>
        <v>Probable</v>
      </c>
      <c r="E66" t="str">
        <f>INDEX('Copilot 5o'!S:S,MATCH('All by All'!A66,'Copilot 4o'!A:A,0))</f>
        <v>Probable</v>
      </c>
      <c r="F66" t="str">
        <f>INDEX(Gemini!I:I,MATCH('All by All'!A66,Gemini!A:A,0))</f>
        <v>Probable</v>
      </c>
      <c r="G66" t="str">
        <f>INDEX('Clinician-APU'!U:U,MATCH('All by All'!A66,'Clinician-APU'!C:C,0))</f>
        <v>PROBABLE</v>
      </c>
    </row>
    <row r="67" spans="1:7" hidden="1" x14ac:dyDescent="0.2">
      <c r="A67">
        <v>1697510114</v>
      </c>
      <c r="B67" t="str">
        <f>INDEX('Clinician-DPA'!S:S,MATCH('All by All'!A67,'Clinician-DPA'!A:A,0))</f>
        <v>Probable (treatment-only)</v>
      </c>
      <c r="C67" t="str">
        <f>INDEX('GPT 5o'!S:S,MATCH('All by All'!A67,'GPT 5o'!A:A,0))</f>
        <v>No Case</v>
      </c>
      <c r="D67" t="str">
        <f>INDEX('Copilot 4o'!S:S,MATCH('All by All'!A67,'Copilot 4o'!A:A,0))</f>
        <v>Probable</v>
      </c>
      <c r="E67" t="str">
        <f>INDEX('Copilot 5o'!S:S,MATCH('All by All'!A67,'Copilot 4o'!A:A,0))</f>
        <v>Probable</v>
      </c>
      <c r="F67" t="e">
        <f>INDEX(Gemini!I:I,MATCH('All by All'!A67,Gemini!A:A,0))</f>
        <v>#N/A</v>
      </c>
      <c r="G67" t="str">
        <f>INDEX('Clinician-APU'!U:U,MATCH('All by All'!A67,'Clinician-APU'!C:C,0))</f>
        <v>PROBABLE</v>
      </c>
    </row>
    <row r="68" spans="1:7" hidden="1" x14ac:dyDescent="0.2">
      <c r="A68">
        <v>1721910713</v>
      </c>
      <c r="B68" t="str">
        <f>INDEX('Clinician-DPA'!S:S,MATCH('All by All'!A68,'Clinician-DPA'!A:A,0))</f>
        <v>Probable (treatment-only)</v>
      </c>
      <c r="C68" t="str">
        <f>INDEX('GPT 5o'!S:S,MATCH('All by All'!A68,'GPT 5o'!A:A,0))</f>
        <v>No Case</v>
      </c>
      <c r="D68" t="str">
        <f>INDEX('Copilot 4o'!S:S,MATCH('All by All'!A68,'Copilot 4o'!A:A,0))</f>
        <v>Probable</v>
      </c>
      <c r="E68" t="str">
        <f>INDEX('Copilot 5o'!S:S,MATCH('All by All'!A68,'Copilot 4o'!A:A,0))</f>
        <v>Probable</v>
      </c>
      <c r="F68" t="e">
        <f>INDEX(Gemini!I:I,MATCH('All by All'!A68,Gemini!A:A,0))</f>
        <v>#N/A</v>
      </c>
      <c r="G68" t="str">
        <f>INDEX('Clinician-APU'!U:U,MATCH('All by All'!A68,'Clinician-APU'!C:C,0))</f>
        <v>PROBABLE</v>
      </c>
    </row>
    <row r="69" spans="1:7" hidden="1" x14ac:dyDescent="0.2">
      <c r="A69">
        <v>1833510766</v>
      </c>
      <c r="B69" t="str">
        <f>INDEX('Clinician-DPA'!S:S,MATCH('All by All'!A69,'Clinician-DPA'!A:A,0))</f>
        <v>Case</v>
      </c>
      <c r="C69" t="str">
        <f>INDEX('GPT 5o'!S:S,MATCH('All by All'!A69,'GPT 5o'!A:A,0))</f>
        <v>No Case</v>
      </c>
      <c r="D69" t="str">
        <f>INDEX('Copilot 4o'!S:S,MATCH('All by All'!A69,'Copilot 4o'!A:A,0))</f>
        <v>Probable</v>
      </c>
      <c r="E69" t="str">
        <f>INDEX('Copilot 5o'!S:S,MATCH('All by All'!A69,'Copilot 4o'!A:A,0))</f>
        <v>Case</v>
      </c>
      <c r="F69" t="e">
        <f>INDEX(Gemini!I:I,MATCH('All by All'!A69,Gemini!A:A,0))</f>
        <v>#N/A</v>
      </c>
      <c r="G69" t="str">
        <f>INDEX('Clinician-APU'!U:U,MATCH('All by All'!A69,'Clinician-APU'!C:C,0))</f>
        <v>CASE</v>
      </c>
    </row>
    <row r="70" spans="1:7" x14ac:dyDescent="0.2">
      <c r="A70">
        <v>1837010125</v>
      </c>
      <c r="B70" t="str">
        <f>INDEX('Clinician-DPA'!S:S,MATCH('All by All'!A70,'Clinician-DPA'!A:A,0))</f>
        <v>Probable (treatment-only)</v>
      </c>
      <c r="C70" t="str">
        <f>INDEX('GPT 5o'!S:S,MATCH('All by All'!A70,'GPT 5o'!A:A,0))</f>
        <v>No Case</v>
      </c>
      <c r="D70" t="str">
        <f>INDEX('Copilot 4o'!S:S,MATCH('All by All'!A70,'Copilot 4o'!A:A,0))</f>
        <v>Probable</v>
      </c>
      <c r="E70" t="str">
        <f>INDEX('Copilot 5o'!S:S,MATCH('All by All'!A70,'Copilot 4o'!A:A,0))</f>
        <v>Probable</v>
      </c>
      <c r="F70" t="str">
        <f>INDEX(Gemini!I:I,MATCH('All by All'!A70,Gemini!A:A,0))</f>
        <v>Probable</v>
      </c>
      <c r="G70" t="str">
        <f>INDEX('Clinician-APU'!U:U,MATCH('All by All'!A70,'Clinician-APU'!C:C,0))</f>
        <v>PROBABLE</v>
      </c>
    </row>
    <row r="71" spans="1:7" x14ac:dyDescent="0.2">
      <c r="A71">
        <v>1865510448</v>
      </c>
      <c r="B71" t="str">
        <f>INDEX('Clinician-DPA'!S:S,MATCH('All by All'!A71,'Clinician-DPA'!A:A,0))</f>
        <v>Case</v>
      </c>
      <c r="C71" t="str">
        <f>INDEX('GPT 5o'!S:S,MATCH('All by All'!A71,'GPT 5o'!A:A,0))</f>
        <v>No Case</v>
      </c>
      <c r="D71" t="str">
        <f>INDEX('Copilot 4o'!S:S,MATCH('All by All'!A71,'Copilot 4o'!A:A,0))</f>
        <v>Case</v>
      </c>
      <c r="E71" t="str">
        <f>INDEX('Copilot 5o'!S:S,MATCH('All by All'!A71,'Copilot 4o'!A:A,0))</f>
        <v>Case</v>
      </c>
      <c r="F71" t="str">
        <f>INDEX(Gemini!I:I,MATCH('All by All'!A71,Gemini!A:A,0))</f>
        <v>Probable</v>
      </c>
      <c r="G71" t="str">
        <f>INDEX('Clinician-APU'!U:U,MATCH('All by All'!A71,'Clinician-APU'!C:C,0))</f>
        <v>CASE</v>
      </c>
    </row>
    <row r="72" spans="1:7" x14ac:dyDescent="0.2">
      <c r="A72">
        <v>2000210593</v>
      </c>
      <c r="B72" t="str">
        <f>INDEX('Clinician-DPA'!S:S,MATCH('All by All'!A72,'Clinician-DPA'!A:A,0))</f>
        <v>Probable (treatment-only)</v>
      </c>
      <c r="C72" t="str">
        <f>INDEX('GPT 5o'!S:S,MATCH('All by All'!A72,'GPT 5o'!A:A,0))</f>
        <v>No Case</v>
      </c>
      <c r="D72" t="str">
        <f>INDEX('Copilot 4o'!S:S,MATCH('All by All'!A72,'Copilot 4o'!A:A,0))</f>
        <v>Probable</v>
      </c>
      <c r="E72" t="str">
        <f>INDEX('Copilot 5o'!S:S,MATCH('All by All'!A72,'Copilot 4o'!A:A,0))</f>
        <v>Probable</v>
      </c>
      <c r="F72" t="str">
        <f>INDEX(Gemini!I:I,MATCH('All by All'!A72,Gemini!A:A,0))</f>
        <v>Probable</v>
      </c>
      <c r="G72" t="str">
        <f>INDEX('Clinician-APU'!U:U,MATCH('All by All'!A72,'Clinician-APU'!C:C,0))</f>
        <v>PROBABLE</v>
      </c>
    </row>
    <row r="73" spans="1:7" x14ac:dyDescent="0.2">
      <c r="A73">
        <v>2062710552</v>
      </c>
      <c r="B73" t="str">
        <f>INDEX('Clinician-DPA'!S:S,MATCH('All by All'!A73,'Clinician-DPA'!A:A,0))</f>
        <v>Probable (treatment-only)</v>
      </c>
      <c r="C73" t="str">
        <f>INDEX('GPT 5o'!S:S,MATCH('All by All'!A73,'GPT 5o'!A:A,0))</f>
        <v>No Case</v>
      </c>
      <c r="D73" t="str">
        <f>INDEX('Copilot 4o'!S:S,MATCH('All by All'!A73,'Copilot 4o'!A:A,0))</f>
        <v>Probable</v>
      </c>
      <c r="E73" t="str">
        <f>INDEX('Copilot 5o'!S:S,MATCH('All by All'!A73,'Copilot 4o'!A:A,0))</f>
        <v>Probable</v>
      </c>
      <c r="F73" t="str">
        <f>INDEX(Gemini!I:I,MATCH('All by All'!A73,Gemini!A:A,0))</f>
        <v>Probable</v>
      </c>
      <c r="G73" t="str">
        <f>INDEX('Clinician-APU'!U:U,MATCH('All by All'!A73,'Clinician-APU'!C:C,0))</f>
        <v>PROBABLE</v>
      </c>
    </row>
    <row r="74" spans="1:7" x14ac:dyDescent="0.2">
      <c r="A74">
        <v>2072410974</v>
      </c>
      <c r="B74" t="str">
        <f>INDEX('Clinician-DPA'!S:S,MATCH('All by All'!A74,'Clinician-DPA'!A:A,0))</f>
        <v>Probable (treatment-only)</v>
      </c>
      <c r="C74" t="str">
        <f>INDEX('GPT 5o'!S:S,MATCH('All by All'!A74,'GPT 5o'!A:A,0))</f>
        <v>No Case</v>
      </c>
      <c r="D74" t="str">
        <f>INDEX('Copilot 4o'!S:S,MATCH('All by All'!A74,'Copilot 4o'!A:A,0))</f>
        <v>Probable</v>
      </c>
      <c r="E74" t="str">
        <f>INDEX('Copilot 5o'!S:S,MATCH('All by All'!A74,'Copilot 4o'!A:A,0))</f>
        <v>Probable</v>
      </c>
      <c r="F74" t="str">
        <f>INDEX(Gemini!I:I,MATCH('All by All'!A74,Gemini!A:A,0))</f>
        <v>Probable</v>
      </c>
      <c r="G74" t="str">
        <f>INDEX('Clinician-APU'!U:U,MATCH('All by All'!A74,'Clinician-APU'!C:C,0))</f>
        <v>PROBABLE</v>
      </c>
    </row>
    <row r="75" spans="1:7" x14ac:dyDescent="0.2">
      <c r="A75">
        <v>2196210387</v>
      </c>
      <c r="B75" t="str">
        <f>INDEX('Clinician-DPA'!S:S,MATCH('All by All'!A75,'Clinician-DPA'!A:A,0))</f>
        <v>Probable (treatment-only)</v>
      </c>
      <c r="C75" t="str">
        <f>INDEX('GPT 5o'!S:S,MATCH('All by All'!A75,'GPT 5o'!A:A,0))</f>
        <v>No Case</v>
      </c>
      <c r="D75" t="str">
        <f>INDEX('Copilot 4o'!S:S,MATCH('All by All'!A75,'Copilot 4o'!A:A,0))</f>
        <v>Probable</v>
      </c>
      <c r="E75" t="str">
        <f>INDEX('Copilot 5o'!S:S,MATCH('All by All'!A75,'Copilot 4o'!A:A,0))</f>
        <v>Probable</v>
      </c>
      <c r="F75" t="str">
        <f>INDEX(Gemini!I:I,MATCH('All by All'!A75,Gemini!A:A,0))</f>
        <v>Probable</v>
      </c>
      <c r="G75" t="str">
        <f>INDEX('Clinician-APU'!U:U,MATCH('All by All'!A75,'Clinician-APU'!C:C,0))</f>
        <v>PROBABLE</v>
      </c>
    </row>
    <row r="76" spans="1:7" x14ac:dyDescent="0.2">
      <c r="A76">
        <v>2220510348</v>
      </c>
      <c r="B76" t="str">
        <f>INDEX('Clinician-DPA'!S:S,MATCH('All by All'!A76,'Clinician-DPA'!A:A,0))</f>
        <v>Probable (treatment-only)</v>
      </c>
      <c r="C76" t="str">
        <f>INDEX('GPT 5o'!S:S,MATCH('All by All'!A76,'GPT 5o'!A:A,0))</f>
        <v>No Case</v>
      </c>
      <c r="D76" t="str">
        <f>INDEX('Copilot 4o'!S:S,MATCH('All by All'!A76,'Copilot 4o'!A:A,0))</f>
        <v>Probable</v>
      </c>
      <c r="E76" t="str">
        <f>INDEX('Copilot 5o'!S:S,MATCH('All by All'!A76,'Copilot 4o'!A:A,0))</f>
        <v>Probable</v>
      </c>
      <c r="F76" t="str">
        <f>INDEX(Gemini!I:I,MATCH('All by All'!A76,Gemini!A:A,0))</f>
        <v>Probable</v>
      </c>
      <c r="G76" t="str">
        <f>INDEX('Clinician-APU'!U:U,MATCH('All by All'!A76,'Clinician-APU'!C:C,0))</f>
        <v>PROBABLE</v>
      </c>
    </row>
    <row r="77" spans="1:7" hidden="1" x14ac:dyDescent="0.2">
      <c r="A77">
        <v>2353710622</v>
      </c>
      <c r="B77" t="str">
        <f>INDEX('Clinician-DPA'!S:S,MATCH('All by All'!A77,'Clinician-DPA'!A:A,0))</f>
        <v>Probable (treatment-only)</v>
      </c>
      <c r="C77" t="str">
        <f>INDEX('GPT 5o'!S:S,MATCH('All by All'!A77,'GPT 5o'!A:A,0))</f>
        <v>No Case</v>
      </c>
      <c r="D77" t="str">
        <f>INDEX('Copilot 4o'!S:S,MATCH('All by All'!A77,'Copilot 4o'!A:A,0))</f>
        <v>Probable</v>
      </c>
      <c r="E77" t="str">
        <f>INDEX('Copilot 5o'!S:S,MATCH('All by All'!A77,'Copilot 4o'!A:A,0))</f>
        <v>Probable</v>
      </c>
      <c r="F77" t="e">
        <f>INDEX(Gemini!I:I,MATCH('All by All'!A77,Gemini!A:A,0))</f>
        <v>#N/A</v>
      </c>
      <c r="G77" t="str">
        <f>INDEX('Clinician-APU'!U:U,MATCH('All by All'!A77,'Clinician-APU'!C:C,0))</f>
        <v>PROBABLE</v>
      </c>
    </row>
    <row r="78" spans="1:7" hidden="1" x14ac:dyDescent="0.2">
      <c r="A78">
        <v>2459710934</v>
      </c>
      <c r="B78" t="str">
        <f>INDEX('Clinician-DPA'!S:S,MATCH('All by All'!A78,'Clinician-DPA'!A:A,0))</f>
        <v>Probable (treatment-only)</v>
      </c>
      <c r="C78" t="str">
        <f>INDEX('GPT 5o'!S:S,MATCH('All by All'!A78,'GPT 5o'!A:A,0))</f>
        <v>No Case</v>
      </c>
      <c r="D78" t="str">
        <f>INDEX('Copilot 4o'!S:S,MATCH('All by All'!A78,'Copilot 4o'!A:A,0))</f>
        <v>Probable</v>
      </c>
      <c r="E78" t="str">
        <f>INDEX('Copilot 5o'!S:S,MATCH('All by All'!A78,'Copilot 4o'!A:A,0))</f>
        <v>Probable</v>
      </c>
      <c r="F78" t="e">
        <f>INDEX(Gemini!I:I,MATCH('All by All'!A78,Gemini!A:A,0))</f>
        <v>#N/A</v>
      </c>
      <c r="G78" t="str">
        <f>INDEX('Clinician-APU'!U:U,MATCH('All by All'!A78,'Clinician-APU'!C:C,0))</f>
        <v>PROBABLE</v>
      </c>
    </row>
    <row r="79" spans="1:7" hidden="1" x14ac:dyDescent="0.2">
      <c r="A79">
        <v>2625910670</v>
      </c>
      <c r="B79" t="str">
        <f>INDEX('Clinician-DPA'!S:S,MATCH('All by All'!A79,'Clinician-DPA'!A:A,0))</f>
        <v>Case</v>
      </c>
      <c r="C79" t="str">
        <f>INDEX('GPT 5o'!S:S,MATCH('All by All'!A79,'GPT 5o'!A:A,0))</f>
        <v>No Case</v>
      </c>
      <c r="D79" t="str">
        <f>INDEX('Copilot 4o'!S:S,MATCH('All by All'!A79,'Copilot 4o'!A:A,0))</f>
        <v>Probable</v>
      </c>
      <c r="E79" t="str">
        <f>INDEX('Copilot 5o'!S:S,MATCH('All by All'!A79,'Copilot 4o'!A:A,0))</f>
        <v>Case</v>
      </c>
      <c r="F79" t="e">
        <f>INDEX(Gemini!I:I,MATCH('All by All'!A79,Gemini!A:A,0))</f>
        <v>#N/A</v>
      </c>
      <c r="G79" t="str">
        <f>INDEX('Clinician-APU'!U:U,MATCH('All by All'!A79,'Clinician-APU'!C:C,0))</f>
        <v>CASE</v>
      </c>
    </row>
    <row r="80" spans="1:7" hidden="1" x14ac:dyDescent="0.2">
      <c r="A80">
        <v>2850010979</v>
      </c>
      <c r="B80" t="str">
        <f>INDEX('Clinician-DPA'!S:S,MATCH('All by All'!A80,'Clinician-DPA'!A:A,0))</f>
        <v>Probable (treatment-only)</v>
      </c>
      <c r="C80" t="str">
        <f>INDEX('GPT 5o'!S:S,MATCH('All by All'!A80,'GPT 5o'!A:A,0))</f>
        <v>No Case</v>
      </c>
      <c r="D80" t="str">
        <f>INDEX('Copilot 4o'!S:S,MATCH('All by All'!A80,'Copilot 4o'!A:A,0))</f>
        <v>Probable</v>
      </c>
      <c r="E80" t="str">
        <f>INDEX('Copilot 5o'!S:S,MATCH('All by All'!A80,'Copilot 4o'!A:A,0))</f>
        <v>Probable</v>
      </c>
      <c r="F80" t="e">
        <f>INDEX(Gemini!I:I,MATCH('All by All'!A80,Gemini!A:A,0))</f>
        <v>#N/A</v>
      </c>
      <c r="G80" t="str">
        <f>INDEX('Clinician-APU'!U:U,MATCH('All by All'!A80,'Clinician-APU'!C:C,0))</f>
        <v>PROBABLE</v>
      </c>
    </row>
    <row r="81" spans="1:7" hidden="1" x14ac:dyDescent="0.2">
      <c r="A81">
        <v>2990210861</v>
      </c>
      <c r="B81" t="str">
        <f>INDEX('Clinician-DPA'!S:S,MATCH('All by All'!A81,'Clinician-DPA'!A:A,0))</f>
        <v>Probable (treatment-only)</v>
      </c>
      <c r="C81" t="str">
        <f>INDEX('GPT 5o'!S:S,MATCH('All by All'!A81,'GPT 5o'!A:A,0))</f>
        <v>No Case</v>
      </c>
      <c r="D81" t="str">
        <f>INDEX('Copilot 4o'!S:S,MATCH('All by All'!A81,'Copilot 4o'!A:A,0))</f>
        <v>Probable</v>
      </c>
      <c r="E81" t="str">
        <f>INDEX('Copilot 5o'!S:S,MATCH('All by All'!A81,'Copilot 4o'!A:A,0))</f>
        <v>Probable</v>
      </c>
      <c r="F81" t="e">
        <f>INDEX(Gemini!I:I,MATCH('All by All'!A81,Gemini!A:A,0))</f>
        <v>#N/A</v>
      </c>
      <c r="G81" t="str">
        <f>INDEX('Clinician-APU'!U:U,MATCH('All by All'!A81,'Clinician-APU'!C:C,0))</f>
        <v>PROBABLE</v>
      </c>
    </row>
    <row r="82" spans="1:7" hidden="1" x14ac:dyDescent="0.2">
      <c r="A82">
        <v>3525210465</v>
      </c>
      <c r="B82" t="str">
        <f>INDEX('Clinician-DPA'!S:S,MATCH('All by All'!A82,'Clinician-DPA'!A:A,0))</f>
        <v>Probable (treatment-only)</v>
      </c>
      <c r="C82" t="str">
        <f>INDEX('GPT 5o'!S:S,MATCH('All by All'!A82,'GPT 5o'!A:A,0))</f>
        <v>No Case</v>
      </c>
      <c r="D82" t="str">
        <f>INDEX('Copilot 4o'!S:S,MATCH('All by All'!A82,'Copilot 4o'!A:A,0))</f>
        <v>Probable</v>
      </c>
      <c r="E82" t="str">
        <f>INDEX('Copilot 5o'!S:S,MATCH('All by All'!A82,'Copilot 4o'!A:A,0))</f>
        <v>Probable</v>
      </c>
      <c r="F82" t="e">
        <f>INDEX(Gemini!I:I,MATCH('All by All'!A82,Gemini!A:A,0))</f>
        <v>#N/A</v>
      </c>
      <c r="G82" t="str">
        <f>INDEX('Clinician-APU'!U:U,MATCH('All by All'!A82,'Clinician-APU'!C:C,0))</f>
        <v>PROBABLE</v>
      </c>
    </row>
    <row r="83" spans="1:7" hidden="1" x14ac:dyDescent="0.2">
      <c r="A83">
        <v>3782210815</v>
      </c>
      <c r="B83" t="str">
        <f>INDEX('Clinician-DPA'!S:S,MATCH('All by All'!A83,'Clinician-DPA'!A:A,0))</f>
        <v>Probable (treatment-only)</v>
      </c>
      <c r="C83" t="str">
        <f>INDEX('GPT 5o'!S:S,MATCH('All by All'!A83,'GPT 5o'!A:A,0))</f>
        <v>No Case</v>
      </c>
      <c r="D83" t="str">
        <f>INDEX('Copilot 4o'!S:S,MATCH('All by All'!A83,'Copilot 4o'!A:A,0))</f>
        <v>Probable</v>
      </c>
      <c r="E83" t="str">
        <f>INDEX('Copilot 5o'!S:S,MATCH('All by All'!A83,'Copilot 4o'!A:A,0))</f>
        <v>Probable</v>
      </c>
      <c r="F83" t="e">
        <f>INDEX(Gemini!I:I,MATCH('All by All'!A83,Gemini!A:A,0))</f>
        <v>#N/A</v>
      </c>
      <c r="G83" t="str">
        <f>INDEX('Clinician-APU'!U:U,MATCH('All by All'!A83,'Clinician-APU'!C:C,0))</f>
        <v>PROBABLE</v>
      </c>
    </row>
    <row r="84" spans="1:7" hidden="1" x14ac:dyDescent="0.2">
      <c r="A84">
        <v>4946010229</v>
      </c>
      <c r="B84" t="str">
        <f>INDEX('Clinician-DPA'!S:S,MATCH('All by All'!A84,'Clinician-DPA'!A:A,0))</f>
        <v>Probable (treatment-only)</v>
      </c>
      <c r="C84" t="str">
        <f>INDEX('GPT 5o'!S:S,MATCH('All by All'!A84,'GPT 5o'!A:A,0))</f>
        <v>No Case</v>
      </c>
      <c r="D84" t="str">
        <f>INDEX('Copilot 4o'!S:S,MATCH('All by All'!A84,'Copilot 4o'!A:A,0))</f>
        <v>Probable</v>
      </c>
      <c r="E84" t="str">
        <f>INDEX('Copilot 5o'!S:S,MATCH('All by All'!A84,'Copilot 4o'!A:A,0))</f>
        <v>Probable</v>
      </c>
      <c r="F84" t="e">
        <f>INDEX(Gemini!I:I,MATCH('All by All'!A84,Gemini!A:A,0))</f>
        <v>#N/A</v>
      </c>
      <c r="G84" t="str">
        <f>INDEX('Clinician-APU'!U:U,MATCH('All by All'!A84,'Clinician-APU'!C:C,0))</f>
        <v>PROBABLE</v>
      </c>
    </row>
  </sheetData>
  <autoFilter ref="A1:G84" xr:uid="{EED87BF1-C55A-4440-A9BF-EF51D2B6A1F0}">
    <filterColumn colId="5">
      <filters>
        <filter val="Case"/>
        <filter val="No Case"/>
        <filter val="Probabl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FDFF-FC8A-D14F-8B97-92640D2952FA}">
  <dimension ref="A1:V84"/>
  <sheetViews>
    <sheetView topLeftCell="B1" workbookViewId="0">
      <selection activeCell="D15" sqref="D15"/>
    </sheetView>
  </sheetViews>
  <sheetFormatPr baseColWidth="10" defaultRowHeight="16" x14ac:dyDescent="0.2"/>
  <cols>
    <col min="3" max="21" width="10.83203125" customWidth="1"/>
  </cols>
  <sheetData>
    <row r="1" spans="1:22" x14ac:dyDescent="0.2">
      <c r="A1" t="s">
        <v>344</v>
      </c>
      <c r="B1" t="s">
        <v>345</v>
      </c>
      <c r="C1" t="s">
        <v>259</v>
      </c>
      <c r="D1" t="s">
        <v>258</v>
      </c>
      <c r="E1" t="s">
        <v>257</v>
      </c>
      <c r="F1" t="s">
        <v>256</v>
      </c>
      <c r="G1" t="s">
        <v>255</v>
      </c>
      <c r="H1" t="s">
        <v>254</v>
      </c>
      <c r="I1" t="s">
        <v>253</v>
      </c>
      <c r="J1" t="s">
        <v>252</v>
      </c>
      <c r="K1" t="s">
        <v>251</v>
      </c>
      <c r="L1" t="s">
        <v>250</v>
      </c>
      <c r="M1" t="s">
        <v>249</v>
      </c>
      <c r="N1" t="s">
        <v>248</v>
      </c>
      <c r="O1" t="s">
        <v>247</v>
      </c>
      <c r="P1" t="s">
        <v>246</v>
      </c>
      <c r="Q1" t="s">
        <v>245</v>
      </c>
      <c r="R1" t="s">
        <v>244</v>
      </c>
      <c r="S1" t="s">
        <v>243</v>
      </c>
      <c r="T1" t="s">
        <v>242</v>
      </c>
      <c r="U1" t="s">
        <v>316</v>
      </c>
      <c r="V1" t="s">
        <v>345</v>
      </c>
    </row>
    <row r="2" spans="1:22" x14ac:dyDescent="0.2">
      <c r="A2" t="s">
        <v>346</v>
      </c>
      <c r="C2">
        <v>643110884</v>
      </c>
      <c r="D2">
        <v>50</v>
      </c>
      <c r="E2" t="s">
        <v>12</v>
      </c>
      <c r="F2" t="s">
        <v>240</v>
      </c>
      <c r="G2" t="s">
        <v>4</v>
      </c>
      <c r="H2" t="s">
        <v>239</v>
      </c>
      <c r="Q2" t="s">
        <v>238</v>
      </c>
      <c r="S2" t="s">
        <v>237</v>
      </c>
      <c r="U2" t="s">
        <v>354</v>
      </c>
    </row>
    <row r="3" spans="1:22" x14ac:dyDescent="0.2">
      <c r="A3" t="s">
        <v>347</v>
      </c>
      <c r="C3">
        <v>706710306</v>
      </c>
      <c r="D3">
        <v>48</v>
      </c>
      <c r="E3" t="s">
        <v>12</v>
      </c>
      <c r="F3" t="s">
        <v>236</v>
      </c>
      <c r="G3" t="s">
        <v>4</v>
      </c>
      <c r="H3" t="s">
        <v>235</v>
      </c>
      <c r="Q3" t="s">
        <v>234</v>
      </c>
      <c r="S3" t="s">
        <v>233</v>
      </c>
      <c r="U3" t="s">
        <v>355</v>
      </c>
    </row>
    <row r="4" spans="1:22" x14ac:dyDescent="0.2">
      <c r="A4" t="s">
        <v>346</v>
      </c>
      <c r="C4">
        <v>384210994</v>
      </c>
      <c r="D4">
        <v>30</v>
      </c>
      <c r="E4" t="s">
        <v>12</v>
      </c>
      <c r="F4" t="s">
        <v>232</v>
      </c>
      <c r="G4" t="s">
        <v>4</v>
      </c>
      <c r="H4" t="s">
        <v>231</v>
      </c>
      <c r="S4" t="s">
        <v>230</v>
      </c>
      <c r="U4" t="s">
        <v>354</v>
      </c>
    </row>
    <row r="5" spans="1:22" x14ac:dyDescent="0.2">
      <c r="A5" t="s">
        <v>348</v>
      </c>
      <c r="B5" t="s">
        <v>349</v>
      </c>
      <c r="C5">
        <v>1502010397</v>
      </c>
      <c r="D5">
        <v>15</v>
      </c>
      <c r="E5" t="s">
        <v>12</v>
      </c>
      <c r="F5" t="s">
        <v>229</v>
      </c>
      <c r="G5" t="s">
        <v>4</v>
      </c>
      <c r="H5" t="s">
        <v>228</v>
      </c>
      <c r="Q5" t="s">
        <v>227</v>
      </c>
      <c r="S5" t="s">
        <v>226</v>
      </c>
      <c r="U5" t="s">
        <v>356</v>
      </c>
      <c r="V5" t="s">
        <v>357</v>
      </c>
    </row>
    <row r="6" spans="1:22" x14ac:dyDescent="0.2">
      <c r="A6" t="s">
        <v>346</v>
      </c>
      <c r="C6">
        <v>503810366</v>
      </c>
      <c r="D6">
        <v>72</v>
      </c>
      <c r="E6" t="s">
        <v>12</v>
      </c>
      <c r="F6" t="s">
        <v>225</v>
      </c>
      <c r="G6" t="s">
        <v>4</v>
      </c>
      <c r="H6" t="s">
        <v>220</v>
      </c>
      <c r="K6" t="s">
        <v>224</v>
      </c>
      <c r="Q6" t="s">
        <v>223</v>
      </c>
      <c r="S6" t="s">
        <v>222</v>
      </c>
      <c r="U6" t="s">
        <v>354</v>
      </c>
    </row>
    <row r="7" spans="1:22" x14ac:dyDescent="0.2">
      <c r="A7" t="s">
        <v>347</v>
      </c>
      <c r="C7">
        <v>5282710166</v>
      </c>
      <c r="D7">
        <v>22</v>
      </c>
      <c r="E7" t="s">
        <v>12</v>
      </c>
      <c r="F7" t="s">
        <v>221</v>
      </c>
      <c r="G7" t="s">
        <v>4</v>
      </c>
      <c r="H7" t="s">
        <v>220</v>
      </c>
      <c r="Q7" t="s">
        <v>219</v>
      </c>
      <c r="S7" t="s">
        <v>218</v>
      </c>
      <c r="U7" t="s">
        <v>355</v>
      </c>
    </row>
    <row r="8" spans="1:22" x14ac:dyDescent="0.2">
      <c r="A8" t="s">
        <v>348</v>
      </c>
      <c r="B8" t="s">
        <v>350</v>
      </c>
      <c r="C8">
        <v>153910595</v>
      </c>
      <c r="D8">
        <v>60</v>
      </c>
      <c r="E8" t="s">
        <v>12</v>
      </c>
      <c r="F8" t="s">
        <v>217</v>
      </c>
      <c r="G8" t="s">
        <v>4</v>
      </c>
      <c r="H8" t="s">
        <v>216</v>
      </c>
      <c r="Q8" t="s">
        <v>215</v>
      </c>
      <c r="U8" t="s">
        <v>356</v>
      </c>
      <c r="V8" t="s">
        <v>358</v>
      </c>
    </row>
    <row r="9" spans="1:22" x14ac:dyDescent="0.2">
      <c r="A9" t="s">
        <v>347</v>
      </c>
      <c r="C9">
        <v>239110163</v>
      </c>
      <c r="D9">
        <v>11</v>
      </c>
      <c r="E9" t="s">
        <v>6</v>
      </c>
      <c r="F9" t="s">
        <v>214</v>
      </c>
      <c r="G9" t="s">
        <v>4</v>
      </c>
      <c r="H9" t="s">
        <v>192</v>
      </c>
      <c r="Q9" t="s">
        <v>213</v>
      </c>
      <c r="S9" t="s">
        <v>212</v>
      </c>
      <c r="U9" t="s">
        <v>355</v>
      </c>
    </row>
    <row r="10" spans="1:22" x14ac:dyDescent="0.2">
      <c r="A10" t="s">
        <v>346</v>
      </c>
      <c r="C10">
        <v>258510963</v>
      </c>
      <c r="D10">
        <v>48</v>
      </c>
      <c r="E10" t="s">
        <v>12</v>
      </c>
      <c r="F10" t="s">
        <v>211</v>
      </c>
      <c r="G10" t="s">
        <v>4</v>
      </c>
      <c r="H10" t="s">
        <v>192</v>
      </c>
      <c r="S10" t="s">
        <v>210</v>
      </c>
      <c r="U10" t="s">
        <v>354</v>
      </c>
    </row>
    <row r="11" spans="1:22" x14ac:dyDescent="0.2">
      <c r="A11" t="s">
        <v>346</v>
      </c>
      <c r="C11">
        <v>366910461</v>
      </c>
      <c r="D11">
        <v>15</v>
      </c>
      <c r="E11" t="s">
        <v>12</v>
      </c>
      <c r="F11" t="s">
        <v>209</v>
      </c>
      <c r="G11" t="s">
        <v>4</v>
      </c>
      <c r="H11" t="s">
        <v>192</v>
      </c>
      <c r="S11" t="s">
        <v>208</v>
      </c>
      <c r="U11" t="s">
        <v>354</v>
      </c>
    </row>
    <row r="12" spans="1:22" x14ac:dyDescent="0.2">
      <c r="A12" t="s">
        <v>346</v>
      </c>
      <c r="C12">
        <v>592410349</v>
      </c>
      <c r="D12">
        <v>21</v>
      </c>
      <c r="E12" t="s">
        <v>12</v>
      </c>
      <c r="F12" t="s">
        <v>207</v>
      </c>
      <c r="G12" t="s">
        <v>4</v>
      </c>
      <c r="H12" t="s">
        <v>206</v>
      </c>
      <c r="Q12" t="s">
        <v>205</v>
      </c>
      <c r="S12" t="s">
        <v>204</v>
      </c>
      <c r="U12" t="s">
        <v>354</v>
      </c>
    </row>
    <row r="13" spans="1:22" x14ac:dyDescent="0.2">
      <c r="A13" t="s">
        <v>346</v>
      </c>
      <c r="C13">
        <v>1094310233</v>
      </c>
      <c r="D13">
        <v>4</v>
      </c>
      <c r="E13" t="s">
        <v>12</v>
      </c>
      <c r="F13" t="s">
        <v>203</v>
      </c>
      <c r="G13" t="s">
        <v>4</v>
      </c>
      <c r="H13" t="s">
        <v>192</v>
      </c>
      <c r="Q13" t="s">
        <v>202</v>
      </c>
      <c r="S13" t="s">
        <v>201</v>
      </c>
      <c r="U13" t="s">
        <v>354</v>
      </c>
    </row>
    <row r="14" spans="1:22" x14ac:dyDescent="0.2">
      <c r="A14" t="s">
        <v>347</v>
      </c>
      <c r="C14">
        <v>1237910593</v>
      </c>
      <c r="D14">
        <v>4</v>
      </c>
      <c r="E14" t="s">
        <v>12</v>
      </c>
      <c r="F14" t="s">
        <v>200</v>
      </c>
      <c r="G14" t="s">
        <v>4</v>
      </c>
      <c r="H14" t="s">
        <v>192</v>
      </c>
      <c r="Q14" t="s">
        <v>199</v>
      </c>
      <c r="S14" t="s">
        <v>198</v>
      </c>
      <c r="U14" t="s">
        <v>355</v>
      </c>
    </row>
    <row r="15" spans="1:22" x14ac:dyDescent="0.2">
      <c r="A15" t="s">
        <v>348</v>
      </c>
      <c r="C15">
        <v>1489110030</v>
      </c>
      <c r="D15">
        <v>60</v>
      </c>
      <c r="E15" t="s">
        <v>6</v>
      </c>
      <c r="F15" t="s">
        <v>197</v>
      </c>
      <c r="G15" t="s">
        <v>4</v>
      </c>
      <c r="H15" t="s">
        <v>192</v>
      </c>
      <c r="U15" t="s">
        <v>356</v>
      </c>
    </row>
    <row r="16" spans="1:22" x14ac:dyDescent="0.2">
      <c r="A16" t="s">
        <v>347</v>
      </c>
      <c r="C16">
        <v>3333010111</v>
      </c>
      <c r="D16">
        <v>5</v>
      </c>
      <c r="E16" t="s">
        <v>6</v>
      </c>
      <c r="F16" t="s">
        <v>196</v>
      </c>
      <c r="G16" t="s">
        <v>4</v>
      </c>
      <c r="H16" t="s">
        <v>195</v>
      </c>
      <c r="S16" t="s">
        <v>194</v>
      </c>
      <c r="U16" t="s">
        <v>355</v>
      </c>
    </row>
    <row r="17" spans="1:22" x14ac:dyDescent="0.2">
      <c r="A17" t="s">
        <v>347</v>
      </c>
      <c r="C17">
        <v>4298610465</v>
      </c>
      <c r="D17">
        <v>33</v>
      </c>
      <c r="E17" t="s">
        <v>12</v>
      </c>
      <c r="F17" t="s">
        <v>193</v>
      </c>
      <c r="G17" t="s">
        <v>4</v>
      </c>
      <c r="H17" t="s">
        <v>192</v>
      </c>
      <c r="Q17" t="s">
        <v>191</v>
      </c>
      <c r="S17" t="s">
        <v>190</v>
      </c>
      <c r="U17" t="s">
        <v>355</v>
      </c>
    </row>
    <row r="18" spans="1:22" x14ac:dyDescent="0.2">
      <c r="A18" t="s">
        <v>347</v>
      </c>
      <c r="C18">
        <v>863610325</v>
      </c>
      <c r="D18">
        <v>23</v>
      </c>
      <c r="E18" t="s">
        <v>6</v>
      </c>
      <c r="F18" t="s">
        <v>189</v>
      </c>
      <c r="G18" t="s">
        <v>4</v>
      </c>
      <c r="H18" t="s">
        <v>188</v>
      </c>
      <c r="S18" t="s">
        <v>187</v>
      </c>
      <c r="U18" t="s">
        <v>355</v>
      </c>
    </row>
    <row r="19" spans="1:22" x14ac:dyDescent="0.2">
      <c r="A19" t="s">
        <v>346</v>
      </c>
      <c r="C19">
        <v>3882310263</v>
      </c>
      <c r="D19">
        <v>6</v>
      </c>
      <c r="E19" t="s">
        <v>12</v>
      </c>
      <c r="F19" t="s">
        <v>186</v>
      </c>
      <c r="G19" t="s">
        <v>4</v>
      </c>
      <c r="H19" t="s">
        <v>185</v>
      </c>
      <c r="S19" t="s">
        <v>184</v>
      </c>
      <c r="U19" t="s">
        <v>354</v>
      </c>
    </row>
    <row r="20" spans="1:22" x14ac:dyDescent="0.2">
      <c r="A20" t="s">
        <v>347</v>
      </c>
      <c r="C20">
        <v>502810717</v>
      </c>
      <c r="D20">
        <v>35</v>
      </c>
      <c r="E20" t="s">
        <v>12</v>
      </c>
      <c r="F20" t="s">
        <v>183</v>
      </c>
      <c r="G20" t="s">
        <v>4</v>
      </c>
      <c r="H20" t="s">
        <v>177</v>
      </c>
      <c r="K20" t="s">
        <v>182</v>
      </c>
      <c r="S20" t="s">
        <v>181</v>
      </c>
      <c r="U20" t="s">
        <v>355</v>
      </c>
    </row>
    <row r="21" spans="1:22" x14ac:dyDescent="0.2">
      <c r="A21" t="s">
        <v>347</v>
      </c>
      <c r="C21">
        <v>811810047</v>
      </c>
      <c r="D21">
        <v>66</v>
      </c>
      <c r="E21" t="s">
        <v>12</v>
      </c>
      <c r="F21" t="s">
        <v>180</v>
      </c>
      <c r="G21" t="s">
        <v>4</v>
      </c>
      <c r="H21" t="s">
        <v>177</v>
      </c>
      <c r="S21" t="s">
        <v>179</v>
      </c>
      <c r="U21" t="s">
        <v>355</v>
      </c>
    </row>
    <row r="22" spans="1:22" x14ac:dyDescent="0.2">
      <c r="A22" t="s">
        <v>347</v>
      </c>
      <c r="C22">
        <v>1626210870</v>
      </c>
      <c r="D22">
        <v>4</v>
      </c>
      <c r="E22" t="s">
        <v>6</v>
      </c>
      <c r="F22" t="s">
        <v>178</v>
      </c>
      <c r="G22" t="s">
        <v>4</v>
      </c>
      <c r="H22" t="s">
        <v>177</v>
      </c>
      <c r="S22" t="s">
        <v>176</v>
      </c>
      <c r="U22" t="s">
        <v>355</v>
      </c>
    </row>
    <row r="23" spans="1:22" x14ac:dyDescent="0.2">
      <c r="A23" t="s">
        <v>347</v>
      </c>
      <c r="C23">
        <v>2213210607</v>
      </c>
      <c r="D23">
        <v>45</v>
      </c>
      <c r="E23" t="s">
        <v>6</v>
      </c>
      <c r="F23" t="s">
        <v>175</v>
      </c>
      <c r="G23" t="s">
        <v>4</v>
      </c>
      <c r="H23" t="s">
        <v>174</v>
      </c>
      <c r="Q23" t="s">
        <v>173</v>
      </c>
      <c r="S23" t="s">
        <v>172</v>
      </c>
      <c r="U23" t="s">
        <v>355</v>
      </c>
    </row>
    <row r="24" spans="1:22" x14ac:dyDescent="0.2">
      <c r="A24" t="s">
        <v>347</v>
      </c>
      <c r="C24">
        <v>5494710200</v>
      </c>
      <c r="D24">
        <v>13</v>
      </c>
      <c r="E24" t="s">
        <v>12</v>
      </c>
      <c r="F24" t="s">
        <v>171</v>
      </c>
      <c r="G24" t="s">
        <v>4</v>
      </c>
      <c r="H24" t="s">
        <v>170</v>
      </c>
      <c r="S24" t="s">
        <v>169</v>
      </c>
      <c r="U24" t="s">
        <v>355</v>
      </c>
    </row>
    <row r="25" spans="1:22" x14ac:dyDescent="0.2">
      <c r="A25" t="s">
        <v>347</v>
      </c>
      <c r="C25">
        <v>1525510677</v>
      </c>
      <c r="D25">
        <v>36</v>
      </c>
      <c r="E25" t="s">
        <v>12</v>
      </c>
      <c r="F25" t="s">
        <v>168</v>
      </c>
      <c r="G25" t="s">
        <v>4</v>
      </c>
      <c r="H25" t="s">
        <v>167</v>
      </c>
      <c r="Q25" t="s">
        <v>166</v>
      </c>
      <c r="S25" t="s">
        <v>165</v>
      </c>
      <c r="U25" t="s">
        <v>355</v>
      </c>
    </row>
    <row r="26" spans="1:22" x14ac:dyDescent="0.2">
      <c r="A26" t="s">
        <v>347</v>
      </c>
      <c r="C26">
        <v>3810766</v>
      </c>
      <c r="D26">
        <v>11</v>
      </c>
      <c r="E26" t="s">
        <v>12</v>
      </c>
      <c r="F26" t="s">
        <v>164</v>
      </c>
      <c r="G26" t="s">
        <v>4</v>
      </c>
      <c r="H26" t="s">
        <v>3</v>
      </c>
      <c r="Q26" t="s">
        <v>163</v>
      </c>
      <c r="S26" t="s">
        <v>162</v>
      </c>
      <c r="U26" t="s">
        <v>355</v>
      </c>
    </row>
    <row r="27" spans="1:22" x14ac:dyDescent="0.2">
      <c r="A27" t="s">
        <v>348</v>
      </c>
      <c r="B27" t="s">
        <v>351</v>
      </c>
      <c r="C27">
        <v>4610438</v>
      </c>
      <c r="D27">
        <v>72</v>
      </c>
      <c r="E27" t="s">
        <v>12</v>
      </c>
      <c r="F27" t="s">
        <v>161</v>
      </c>
      <c r="G27" t="s">
        <v>4</v>
      </c>
      <c r="H27" t="s">
        <v>160</v>
      </c>
      <c r="K27" t="s">
        <v>159</v>
      </c>
      <c r="Q27" t="s">
        <v>158</v>
      </c>
      <c r="S27" t="s">
        <v>157</v>
      </c>
      <c r="U27" t="s">
        <v>356</v>
      </c>
      <c r="V27" t="s">
        <v>358</v>
      </c>
    </row>
    <row r="28" spans="1:22" x14ac:dyDescent="0.2">
      <c r="A28" t="s">
        <v>347</v>
      </c>
      <c r="C28">
        <v>9710983</v>
      </c>
      <c r="D28">
        <v>12</v>
      </c>
      <c r="E28" t="s">
        <v>12</v>
      </c>
      <c r="F28" t="s">
        <v>156</v>
      </c>
      <c r="G28" t="s">
        <v>4</v>
      </c>
      <c r="H28" t="s">
        <v>3</v>
      </c>
      <c r="Q28" t="s">
        <v>155</v>
      </c>
      <c r="S28" t="s">
        <v>154</v>
      </c>
      <c r="U28" t="s">
        <v>355</v>
      </c>
    </row>
    <row r="29" spans="1:22" x14ac:dyDescent="0.2">
      <c r="A29" t="s">
        <v>346</v>
      </c>
      <c r="C29">
        <v>62910668</v>
      </c>
      <c r="D29">
        <v>59</v>
      </c>
      <c r="E29" t="s">
        <v>12</v>
      </c>
      <c r="F29" t="s">
        <v>153</v>
      </c>
      <c r="G29" t="s">
        <v>4</v>
      </c>
      <c r="H29" t="s">
        <v>3</v>
      </c>
      <c r="Q29" t="s">
        <v>152</v>
      </c>
      <c r="S29" t="s">
        <v>151</v>
      </c>
      <c r="U29" t="s">
        <v>354</v>
      </c>
    </row>
    <row r="30" spans="1:22" x14ac:dyDescent="0.2">
      <c r="A30" t="s">
        <v>348</v>
      </c>
      <c r="B30" t="s">
        <v>352</v>
      </c>
      <c r="C30">
        <v>70210987</v>
      </c>
      <c r="D30">
        <v>75</v>
      </c>
      <c r="E30" t="s">
        <v>12</v>
      </c>
      <c r="F30" t="s">
        <v>150</v>
      </c>
      <c r="G30" t="s">
        <v>4</v>
      </c>
      <c r="H30" t="s">
        <v>3</v>
      </c>
      <c r="U30" t="s">
        <v>356</v>
      </c>
    </row>
    <row r="31" spans="1:22" x14ac:dyDescent="0.2">
      <c r="A31" t="s">
        <v>347</v>
      </c>
      <c r="C31">
        <v>87610928</v>
      </c>
      <c r="D31">
        <v>14</v>
      </c>
      <c r="E31" t="s">
        <v>12</v>
      </c>
      <c r="F31" t="s">
        <v>149</v>
      </c>
      <c r="G31" t="s">
        <v>4</v>
      </c>
      <c r="H31" t="s">
        <v>3</v>
      </c>
      <c r="Q31" t="s">
        <v>148</v>
      </c>
      <c r="S31" t="s">
        <v>147</v>
      </c>
      <c r="U31" t="s">
        <v>355</v>
      </c>
    </row>
    <row r="32" spans="1:22" x14ac:dyDescent="0.2">
      <c r="A32" t="s">
        <v>347</v>
      </c>
      <c r="C32">
        <v>92810885</v>
      </c>
      <c r="D32">
        <v>24</v>
      </c>
      <c r="E32" t="s">
        <v>12</v>
      </c>
      <c r="F32" t="s">
        <v>146</v>
      </c>
      <c r="G32" t="s">
        <v>4</v>
      </c>
      <c r="H32" t="s">
        <v>3</v>
      </c>
      <c r="Q32" t="s">
        <v>145</v>
      </c>
      <c r="S32" t="s">
        <v>144</v>
      </c>
      <c r="U32" t="s">
        <v>355</v>
      </c>
    </row>
    <row r="33" spans="1:22" x14ac:dyDescent="0.2">
      <c r="A33" t="s">
        <v>347</v>
      </c>
      <c r="C33">
        <v>129310347</v>
      </c>
      <c r="D33">
        <v>30</v>
      </c>
      <c r="E33" t="s">
        <v>12</v>
      </c>
      <c r="F33" t="s">
        <v>143</v>
      </c>
      <c r="G33" t="s">
        <v>4</v>
      </c>
      <c r="H33" t="s">
        <v>3</v>
      </c>
      <c r="Q33" t="s">
        <v>142</v>
      </c>
      <c r="S33" t="s">
        <v>141</v>
      </c>
      <c r="U33" t="s">
        <v>355</v>
      </c>
    </row>
    <row r="34" spans="1:22" x14ac:dyDescent="0.2">
      <c r="A34" t="s">
        <v>346</v>
      </c>
      <c r="C34">
        <v>214510962</v>
      </c>
      <c r="D34">
        <v>67</v>
      </c>
      <c r="E34" t="s">
        <v>6</v>
      </c>
      <c r="F34" t="s">
        <v>140</v>
      </c>
      <c r="G34" t="s">
        <v>4</v>
      </c>
      <c r="H34" t="s">
        <v>3</v>
      </c>
      <c r="K34" t="s">
        <v>139</v>
      </c>
      <c r="S34" t="s">
        <v>138</v>
      </c>
      <c r="U34" t="s">
        <v>354</v>
      </c>
    </row>
    <row r="35" spans="1:22" x14ac:dyDescent="0.2">
      <c r="A35" t="s">
        <v>347</v>
      </c>
      <c r="C35">
        <v>244010017</v>
      </c>
      <c r="D35">
        <v>17</v>
      </c>
      <c r="E35" t="s">
        <v>6</v>
      </c>
      <c r="F35" t="s">
        <v>137</v>
      </c>
      <c r="G35" t="s">
        <v>4</v>
      </c>
      <c r="H35" t="s">
        <v>136</v>
      </c>
      <c r="Q35" t="s">
        <v>135</v>
      </c>
      <c r="S35" t="s">
        <v>134</v>
      </c>
      <c r="U35" t="s">
        <v>355</v>
      </c>
    </row>
    <row r="36" spans="1:22" x14ac:dyDescent="0.2">
      <c r="A36" t="s">
        <v>347</v>
      </c>
      <c r="C36">
        <v>319810053</v>
      </c>
      <c r="D36">
        <v>13</v>
      </c>
      <c r="E36" t="s">
        <v>12</v>
      </c>
      <c r="F36" t="s">
        <v>133</v>
      </c>
      <c r="G36" t="s">
        <v>4</v>
      </c>
      <c r="H36" t="s">
        <v>3</v>
      </c>
      <c r="Q36" t="s">
        <v>132</v>
      </c>
      <c r="S36" t="s">
        <v>131</v>
      </c>
      <c r="U36" t="s">
        <v>355</v>
      </c>
    </row>
    <row r="37" spans="1:22" x14ac:dyDescent="0.2">
      <c r="A37" t="s">
        <v>348</v>
      </c>
      <c r="B37" t="s">
        <v>349</v>
      </c>
      <c r="C37">
        <v>358110249</v>
      </c>
      <c r="D37">
        <v>40</v>
      </c>
      <c r="E37" t="s">
        <v>12</v>
      </c>
      <c r="F37" t="s">
        <v>130</v>
      </c>
      <c r="G37" t="s">
        <v>4</v>
      </c>
      <c r="H37" t="s">
        <v>3</v>
      </c>
      <c r="K37" t="s">
        <v>129</v>
      </c>
      <c r="Q37" t="s">
        <v>128</v>
      </c>
      <c r="R37" t="s">
        <v>127</v>
      </c>
      <c r="S37" t="s">
        <v>126</v>
      </c>
      <c r="U37" t="s">
        <v>356</v>
      </c>
      <c r="V37" t="s">
        <v>357</v>
      </c>
    </row>
    <row r="38" spans="1:22" x14ac:dyDescent="0.2">
      <c r="A38" t="s">
        <v>346</v>
      </c>
      <c r="C38">
        <v>401410971</v>
      </c>
      <c r="D38">
        <v>19</v>
      </c>
      <c r="E38" t="s">
        <v>6</v>
      </c>
      <c r="F38" t="s">
        <v>125</v>
      </c>
      <c r="G38" t="s">
        <v>4</v>
      </c>
      <c r="H38" t="s">
        <v>3</v>
      </c>
      <c r="S38" t="s">
        <v>124</v>
      </c>
      <c r="U38" t="s">
        <v>354</v>
      </c>
    </row>
    <row r="39" spans="1:22" x14ac:dyDescent="0.2">
      <c r="A39" t="s">
        <v>346</v>
      </c>
      <c r="C39">
        <v>461910966</v>
      </c>
      <c r="D39">
        <v>31</v>
      </c>
      <c r="E39" t="s">
        <v>12</v>
      </c>
      <c r="F39" t="s">
        <v>123</v>
      </c>
      <c r="G39" t="s">
        <v>4</v>
      </c>
      <c r="H39" t="s">
        <v>3</v>
      </c>
      <c r="K39" t="s">
        <v>122</v>
      </c>
      <c r="S39" t="s">
        <v>121</v>
      </c>
      <c r="U39" t="s">
        <v>354</v>
      </c>
    </row>
    <row r="40" spans="1:22" x14ac:dyDescent="0.2">
      <c r="A40" t="s">
        <v>347</v>
      </c>
      <c r="C40">
        <v>476910620</v>
      </c>
      <c r="D40">
        <v>72</v>
      </c>
      <c r="E40" t="s">
        <v>6</v>
      </c>
      <c r="F40" t="s">
        <v>120</v>
      </c>
      <c r="G40" t="s">
        <v>4</v>
      </c>
      <c r="H40" t="s">
        <v>3</v>
      </c>
      <c r="L40" t="s">
        <v>119</v>
      </c>
      <c r="Q40" t="s">
        <v>118</v>
      </c>
      <c r="S40" t="s">
        <v>117</v>
      </c>
      <c r="U40" t="s">
        <v>355</v>
      </c>
    </row>
    <row r="41" spans="1:22" x14ac:dyDescent="0.2">
      <c r="A41" t="s">
        <v>346</v>
      </c>
      <c r="C41">
        <v>553410900</v>
      </c>
      <c r="D41">
        <v>19</v>
      </c>
      <c r="E41" t="s">
        <v>12</v>
      </c>
      <c r="F41" t="s">
        <v>116</v>
      </c>
      <c r="G41" t="s">
        <v>4</v>
      </c>
      <c r="H41" t="s">
        <v>3</v>
      </c>
      <c r="S41" t="s">
        <v>115</v>
      </c>
      <c r="U41" t="s">
        <v>354</v>
      </c>
    </row>
    <row r="42" spans="1:22" x14ac:dyDescent="0.2">
      <c r="A42" t="s">
        <v>347</v>
      </c>
      <c r="C42">
        <v>679310873</v>
      </c>
      <c r="D42">
        <v>13</v>
      </c>
      <c r="E42" t="s">
        <v>12</v>
      </c>
      <c r="F42" t="s">
        <v>114</v>
      </c>
      <c r="G42" t="s">
        <v>4</v>
      </c>
      <c r="H42" t="s">
        <v>3</v>
      </c>
      <c r="Q42" t="s">
        <v>113</v>
      </c>
      <c r="S42" t="s">
        <v>112</v>
      </c>
      <c r="U42" t="s">
        <v>355</v>
      </c>
    </row>
    <row r="43" spans="1:22" x14ac:dyDescent="0.2">
      <c r="A43" t="s">
        <v>346</v>
      </c>
      <c r="C43">
        <v>726310128</v>
      </c>
      <c r="D43">
        <v>17</v>
      </c>
      <c r="E43" t="s">
        <v>6</v>
      </c>
      <c r="F43" t="s">
        <v>111</v>
      </c>
      <c r="G43" t="s">
        <v>4</v>
      </c>
      <c r="H43" t="s">
        <v>3</v>
      </c>
      <c r="Q43" t="s">
        <v>110</v>
      </c>
      <c r="S43" t="s">
        <v>109</v>
      </c>
      <c r="U43" t="s">
        <v>354</v>
      </c>
    </row>
    <row r="44" spans="1:22" x14ac:dyDescent="0.2">
      <c r="A44" t="s">
        <v>347</v>
      </c>
      <c r="C44">
        <v>740710960</v>
      </c>
      <c r="D44">
        <v>12</v>
      </c>
      <c r="E44" t="s">
        <v>6</v>
      </c>
      <c r="F44" t="s">
        <v>108</v>
      </c>
      <c r="G44" t="s">
        <v>4</v>
      </c>
      <c r="H44" t="s">
        <v>3</v>
      </c>
      <c r="Q44" t="s">
        <v>107</v>
      </c>
      <c r="S44" t="s">
        <v>106</v>
      </c>
      <c r="U44" t="s">
        <v>355</v>
      </c>
    </row>
    <row r="45" spans="1:22" x14ac:dyDescent="0.2">
      <c r="A45" t="s">
        <v>347</v>
      </c>
      <c r="C45">
        <v>758210667</v>
      </c>
      <c r="D45">
        <v>7</v>
      </c>
      <c r="E45" t="s">
        <v>12</v>
      </c>
      <c r="F45" t="s">
        <v>105</v>
      </c>
      <c r="G45" t="s">
        <v>4</v>
      </c>
      <c r="H45" t="s">
        <v>3</v>
      </c>
      <c r="S45" t="s">
        <v>104</v>
      </c>
      <c r="U45" t="s">
        <v>355</v>
      </c>
    </row>
    <row r="46" spans="1:22" x14ac:dyDescent="0.2">
      <c r="A46" t="s">
        <v>347</v>
      </c>
      <c r="C46">
        <v>772810288</v>
      </c>
      <c r="D46">
        <v>15</v>
      </c>
      <c r="E46" t="s">
        <v>12</v>
      </c>
      <c r="F46" t="s">
        <v>103</v>
      </c>
      <c r="G46" t="s">
        <v>4</v>
      </c>
      <c r="H46" t="s">
        <v>3</v>
      </c>
      <c r="S46" t="s">
        <v>102</v>
      </c>
      <c r="U46" t="s">
        <v>355</v>
      </c>
    </row>
    <row r="47" spans="1:22" x14ac:dyDescent="0.2">
      <c r="A47" t="s">
        <v>346</v>
      </c>
      <c r="C47">
        <v>795410971</v>
      </c>
      <c r="D47">
        <v>2</v>
      </c>
      <c r="E47" t="s">
        <v>6</v>
      </c>
      <c r="F47" t="s">
        <v>101</v>
      </c>
      <c r="G47" t="s">
        <v>4</v>
      </c>
      <c r="H47" t="s">
        <v>3</v>
      </c>
      <c r="U47" t="s">
        <v>354</v>
      </c>
    </row>
    <row r="48" spans="1:22" x14ac:dyDescent="0.2">
      <c r="A48" t="s">
        <v>347</v>
      </c>
      <c r="C48">
        <v>826210737</v>
      </c>
      <c r="D48">
        <v>3</v>
      </c>
      <c r="E48" t="s">
        <v>6</v>
      </c>
      <c r="F48" t="s">
        <v>100</v>
      </c>
      <c r="G48" t="s">
        <v>4</v>
      </c>
      <c r="H48" t="s">
        <v>3</v>
      </c>
      <c r="S48" t="s">
        <v>99</v>
      </c>
      <c r="U48" t="s">
        <v>355</v>
      </c>
    </row>
    <row r="49" spans="1:22" x14ac:dyDescent="0.2">
      <c r="A49" t="s">
        <v>347</v>
      </c>
      <c r="C49">
        <v>831210567</v>
      </c>
      <c r="D49">
        <v>40</v>
      </c>
      <c r="E49" t="s">
        <v>12</v>
      </c>
      <c r="F49" t="s">
        <v>98</v>
      </c>
      <c r="G49" t="s">
        <v>4</v>
      </c>
      <c r="H49" t="s">
        <v>3</v>
      </c>
      <c r="Q49" t="s">
        <v>97</v>
      </c>
      <c r="S49" t="s">
        <v>96</v>
      </c>
      <c r="U49" t="s">
        <v>355</v>
      </c>
    </row>
    <row r="50" spans="1:22" x14ac:dyDescent="0.2">
      <c r="A50" t="s">
        <v>346</v>
      </c>
      <c r="C50">
        <v>878310732</v>
      </c>
      <c r="D50">
        <v>31</v>
      </c>
      <c r="E50" t="s">
        <v>6</v>
      </c>
      <c r="F50" t="s">
        <v>95</v>
      </c>
      <c r="G50" t="s">
        <v>4</v>
      </c>
      <c r="H50" t="s">
        <v>3</v>
      </c>
      <c r="U50" t="s">
        <v>354</v>
      </c>
    </row>
    <row r="51" spans="1:22" x14ac:dyDescent="0.2">
      <c r="A51" t="s">
        <v>346</v>
      </c>
      <c r="C51">
        <v>880910162</v>
      </c>
      <c r="D51">
        <v>28</v>
      </c>
      <c r="E51" t="s">
        <v>12</v>
      </c>
      <c r="F51" t="s">
        <v>93</v>
      </c>
      <c r="G51" t="s">
        <v>4</v>
      </c>
      <c r="H51" t="s">
        <v>3</v>
      </c>
      <c r="S51" t="s">
        <v>92</v>
      </c>
      <c r="U51" t="s">
        <v>354</v>
      </c>
    </row>
    <row r="52" spans="1:22" x14ac:dyDescent="0.2">
      <c r="A52" t="s">
        <v>347</v>
      </c>
      <c r="C52">
        <v>888710791</v>
      </c>
      <c r="D52">
        <v>12</v>
      </c>
      <c r="E52" t="s">
        <v>6</v>
      </c>
      <c r="F52" t="s">
        <v>91</v>
      </c>
      <c r="G52" t="s">
        <v>4</v>
      </c>
      <c r="H52" t="s">
        <v>3</v>
      </c>
      <c r="S52" t="s">
        <v>90</v>
      </c>
      <c r="U52" t="s">
        <v>355</v>
      </c>
    </row>
    <row r="53" spans="1:22" x14ac:dyDescent="0.2">
      <c r="A53" t="s">
        <v>348</v>
      </c>
      <c r="B53" t="s">
        <v>353</v>
      </c>
      <c r="C53">
        <v>932610840</v>
      </c>
      <c r="D53">
        <v>13</v>
      </c>
      <c r="E53" t="s">
        <v>6</v>
      </c>
      <c r="F53" t="s">
        <v>89</v>
      </c>
      <c r="G53" t="s">
        <v>4</v>
      </c>
      <c r="H53" t="s">
        <v>3</v>
      </c>
      <c r="I53" t="s">
        <v>88</v>
      </c>
      <c r="K53" t="s">
        <v>87</v>
      </c>
      <c r="S53" t="s">
        <v>86</v>
      </c>
      <c r="U53" t="s">
        <v>356</v>
      </c>
      <c r="V53" t="s">
        <v>359</v>
      </c>
    </row>
    <row r="54" spans="1:22" x14ac:dyDescent="0.2">
      <c r="A54" t="s">
        <v>346</v>
      </c>
      <c r="C54">
        <v>954410764</v>
      </c>
      <c r="D54">
        <v>19</v>
      </c>
      <c r="E54" t="s">
        <v>6</v>
      </c>
      <c r="F54" t="s">
        <v>85</v>
      </c>
      <c r="G54" t="s">
        <v>4</v>
      </c>
      <c r="H54" t="s">
        <v>3</v>
      </c>
      <c r="S54" t="s">
        <v>84</v>
      </c>
      <c r="U54" t="s">
        <v>354</v>
      </c>
    </row>
    <row r="55" spans="1:22" x14ac:dyDescent="0.2">
      <c r="A55" t="s">
        <v>347</v>
      </c>
      <c r="C55">
        <v>959010761</v>
      </c>
      <c r="D55">
        <v>9</v>
      </c>
      <c r="E55" t="s">
        <v>6</v>
      </c>
      <c r="F55" t="s">
        <v>83</v>
      </c>
      <c r="G55" t="s">
        <v>4</v>
      </c>
      <c r="H55" t="s">
        <v>3</v>
      </c>
      <c r="Q55" t="s">
        <v>82</v>
      </c>
      <c r="S55" t="s">
        <v>81</v>
      </c>
      <c r="U55" t="s">
        <v>355</v>
      </c>
    </row>
    <row r="56" spans="1:22" x14ac:dyDescent="0.2">
      <c r="A56" t="s">
        <v>348</v>
      </c>
      <c r="B56" t="s">
        <v>349</v>
      </c>
      <c r="C56">
        <v>1026210195</v>
      </c>
      <c r="D56">
        <v>37</v>
      </c>
      <c r="E56" t="s">
        <v>12</v>
      </c>
      <c r="F56" t="s">
        <v>80</v>
      </c>
      <c r="G56" t="s">
        <v>4</v>
      </c>
      <c r="H56" t="s">
        <v>3</v>
      </c>
      <c r="Q56" t="s">
        <v>79</v>
      </c>
      <c r="S56" t="s">
        <v>78</v>
      </c>
      <c r="U56" t="s">
        <v>356</v>
      </c>
      <c r="V56" t="s">
        <v>357</v>
      </c>
    </row>
    <row r="57" spans="1:22" x14ac:dyDescent="0.2">
      <c r="A57" t="s">
        <v>346</v>
      </c>
      <c r="C57">
        <v>1084310679</v>
      </c>
      <c r="D57">
        <v>14</v>
      </c>
      <c r="E57" t="s">
        <v>12</v>
      </c>
      <c r="F57" t="s">
        <v>77</v>
      </c>
      <c r="G57" t="s">
        <v>4</v>
      </c>
      <c r="H57" t="s">
        <v>3</v>
      </c>
      <c r="S57" t="s">
        <v>76</v>
      </c>
      <c r="U57" t="s">
        <v>354</v>
      </c>
    </row>
    <row r="58" spans="1:22" x14ac:dyDescent="0.2">
      <c r="A58" t="s">
        <v>346</v>
      </c>
      <c r="C58">
        <v>1086910999</v>
      </c>
      <c r="D58">
        <v>27</v>
      </c>
      <c r="E58" t="s">
        <v>12</v>
      </c>
      <c r="F58" t="s">
        <v>75</v>
      </c>
      <c r="G58" t="s">
        <v>4</v>
      </c>
      <c r="H58" t="s">
        <v>3</v>
      </c>
      <c r="S58" t="s">
        <v>74</v>
      </c>
      <c r="U58" t="s">
        <v>354</v>
      </c>
    </row>
    <row r="59" spans="1:22" x14ac:dyDescent="0.2">
      <c r="A59" t="s">
        <v>346</v>
      </c>
      <c r="C59">
        <v>1112310707</v>
      </c>
      <c r="D59">
        <v>17</v>
      </c>
      <c r="E59" t="s">
        <v>12</v>
      </c>
      <c r="F59" t="s">
        <v>73</v>
      </c>
      <c r="G59" t="s">
        <v>4</v>
      </c>
      <c r="H59" t="s">
        <v>3</v>
      </c>
      <c r="Q59" t="s">
        <v>72</v>
      </c>
      <c r="S59" t="s">
        <v>71</v>
      </c>
      <c r="U59" t="s">
        <v>354</v>
      </c>
    </row>
    <row r="60" spans="1:22" x14ac:dyDescent="0.2">
      <c r="A60" t="s">
        <v>346</v>
      </c>
      <c r="C60">
        <v>1146710626</v>
      </c>
      <c r="D60">
        <v>9</v>
      </c>
      <c r="E60" t="s">
        <v>12</v>
      </c>
      <c r="F60" t="s">
        <v>70</v>
      </c>
      <c r="G60" t="s">
        <v>4</v>
      </c>
      <c r="H60" t="s">
        <v>3</v>
      </c>
      <c r="S60" t="s">
        <v>69</v>
      </c>
      <c r="U60" t="s">
        <v>354</v>
      </c>
    </row>
    <row r="61" spans="1:22" x14ac:dyDescent="0.2">
      <c r="A61" t="s">
        <v>346</v>
      </c>
      <c r="C61">
        <v>1244410740</v>
      </c>
      <c r="D61">
        <v>12</v>
      </c>
      <c r="E61" t="s">
        <v>6</v>
      </c>
      <c r="F61" t="s">
        <v>68</v>
      </c>
      <c r="G61" t="s">
        <v>4</v>
      </c>
      <c r="H61" t="s">
        <v>3</v>
      </c>
      <c r="S61" t="s">
        <v>67</v>
      </c>
      <c r="U61" t="s">
        <v>354</v>
      </c>
    </row>
    <row r="62" spans="1:22" x14ac:dyDescent="0.2">
      <c r="A62" t="s">
        <v>347</v>
      </c>
      <c r="C62">
        <v>1292410740</v>
      </c>
      <c r="D62">
        <v>29</v>
      </c>
      <c r="E62" t="s">
        <v>12</v>
      </c>
      <c r="F62" t="s">
        <v>66</v>
      </c>
      <c r="G62" t="s">
        <v>4</v>
      </c>
      <c r="H62" t="s">
        <v>3</v>
      </c>
      <c r="Q62" t="s">
        <v>65</v>
      </c>
      <c r="S62" t="s">
        <v>64</v>
      </c>
      <c r="U62" t="s">
        <v>355</v>
      </c>
    </row>
    <row r="63" spans="1:22" x14ac:dyDescent="0.2">
      <c r="A63" t="s">
        <v>347</v>
      </c>
      <c r="C63">
        <v>1344710011</v>
      </c>
      <c r="D63">
        <v>4</v>
      </c>
      <c r="E63" t="s">
        <v>6</v>
      </c>
      <c r="F63" t="s">
        <v>63</v>
      </c>
      <c r="G63" t="s">
        <v>4</v>
      </c>
      <c r="H63" t="s">
        <v>3</v>
      </c>
      <c r="Q63" t="s">
        <v>62</v>
      </c>
      <c r="S63" t="s">
        <v>61</v>
      </c>
      <c r="U63" t="s">
        <v>355</v>
      </c>
    </row>
    <row r="64" spans="1:22" x14ac:dyDescent="0.2">
      <c r="A64" t="s">
        <v>346</v>
      </c>
      <c r="C64">
        <v>1419010939</v>
      </c>
      <c r="D64">
        <v>16</v>
      </c>
      <c r="E64" t="s">
        <v>6</v>
      </c>
      <c r="F64" t="s">
        <v>60</v>
      </c>
      <c r="G64" t="s">
        <v>4</v>
      </c>
      <c r="H64" t="s">
        <v>3</v>
      </c>
      <c r="J64" t="s">
        <v>59</v>
      </c>
      <c r="S64" t="s">
        <v>58</v>
      </c>
      <c r="U64" t="s">
        <v>354</v>
      </c>
    </row>
    <row r="65" spans="1:21" x14ac:dyDescent="0.2">
      <c r="A65" t="s">
        <v>346</v>
      </c>
      <c r="C65">
        <v>1591110113</v>
      </c>
      <c r="D65">
        <v>3</v>
      </c>
      <c r="E65" t="s">
        <v>6</v>
      </c>
      <c r="F65" t="s">
        <v>57</v>
      </c>
      <c r="G65" t="s">
        <v>4</v>
      </c>
      <c r="H65" t="s">
        <v>3</v>
      </c>
      <c r="S65" t="s">
        <v>56</v>
      </c>
      <c r="U65" t="s">
        <v>354</v>
      </c>
    </row>
    <row r="66" spans="1:21" x14ac:dyDescent="0.2">
      <c r="A66" t="s">
        <v>346</v>
      </c>
      <c r="C66">
        <v>1654310321</v>
      </c>
      <c r="D66">
        <v>15</v>
      </c>
      <c r="E66" t="s">
        <v>12</v>
      </c>
      <c r="F66" t="s">
        <v>55</v>
      </c>
      <c r="G66" t="s">
        <v>4</v>
      </c>
      <c r="H66" t="s">
        <v>3</v>
      </c>
      <c r="Q66" t="s">
        <v>54</v>
      </c>
      <c r="S66" t="s">
        <v>53</v>
      </c>
      <c r="U66" t="s">
        <v>354</v>
      </c>
    </row>
    <row r="67" spans="1:21" x14ac:dyDescent="0.2">
      <c r="A67" t="s">
        <v>346</v>
      </c>
      <c r="C67">
        <v>1697510114</v>
      </c>
      <c r="D67">
        <v>10</v>
      </c>
      <c r="E67" t="s">
        <v>12</v>
      </c>
      <c r="F67" t="s">
        <v>52</v>
      </c>
      <c r="G67" t="s">
        <v>4</v>
      </c>
      <c r="H67" t="s">
        <v>3</v>
      </c>
      <c r="S67" t="s">
        <v>51</v>
      </c>
      <c r="U67" t="s">
        <v>354</v>
      </c>
    </row>
    <row r="68" spans="1:21" x14ac:dyDescent="0.2">
      <c r="A68" t="s">
        <v>346</v>
      </c>
      <c r="C68">
        <v>1721910713</v>
      </c>
      <c r="D68">
        <v>12</v>
      </c>
      <c r="E68" t="s">
        <v>6</v>
      </c>
      <c r="F68" t="s">
        <v>50</v>
      </c>
      <c r="G68" t="s">
        <v>4</v>
      </c>
      <c r="H68" t="s">
        <v>3</v>
      </c>
      <c r="Q68" t="s">
        <v>49</v>
      </c>
      <c r="S68" t="s">
        <v>48</v>
      </c>
      <c r="U68" t="s">
        <v>354</v>
      </c>
    </row>
    <row r="69" spans="1:21" x14ac:dyDescent="0.2">
      <c r="A69" t="s">
        <v>347</v>
      </c>
      <c r="C69">
        <v>1833510766</v>
      </c>
      <c r="D69">
        <v>4</v>
      </c>
      <c r="E69" t="s">
        <v>6</v>
      </c>
      <c r="F69" t="s">
        <v>47</v>
      </c>
      <c r="G69" t="s">
        <v>4</v>
      </c>
      <c r="H69" t="s">
        <v>3</v>
      </c>
      <c r="Q69" t="s">
        <v>46</v>
      </c>
      <c r="S69" t="s">
        <v>45</v>
      </c>
      <c r="U69" t="s">
        <v>355</v>
      </c>
    </row>
    <row r="70" spans="1:21" x14ac:dyDescent="0.2">
      <c r="A70" t="s">
        <v>346</v>
      </c>
      <c r="C70">
        <v>1837010125</v>
      </c>
      <c r="D70">
        <v>12</v>
      </c>
      <c r="E70" t="s">
        <v>6</v>
      </c>
      <c r="F70" t="s">
        <v>44</v>
      </c>
      <c r="G70" t="s">
        <v>4</v>
      </c>
      <c r="H70" t="s">
        <v>3</v>
      </c>
      <c r="Q70" t="s">
        <v>43</v>
      </c>
      <c r="S70" t="s">
        <v>42</v>
      </c>
      <c r="U70" t="s">
        <v>354</v>
      </c>
    </row>
    <row r="71" spans="1:21" x14ac:dyDescent="0.2">
      <c r="A71" t="s">
        <v>347</v>
      </c>
      <c r="C71">
        <v>1865510448</v>
      </c>
      <c r="D71">
        <v>13</v>
      </c>
      <c r="E71" t="s">
        <v>12</v>
      </c>
      <c r="F71" t="s">
        <v>41</v>
      </c>
      <c r="G71" t="s">
        <v>4</v>
      </c>
      <c r="H71" t="s">
        <v>3</v>
      </c>
      <c r="J71" t="s">
        <v>40</v>
      </c>
      <c r="S71" t="s">
        <v>39</v>
      </c>
      <c r="U71" t="s">
        <v>355</v>
      </c>
    </row>
    <row r="72" spans="1:21" x14ac:dyDescent="0.2">
      <c r="A72" t="s">
        <v>346</v>
      </c>
      <c r="C72">
        <v>2000210593</v>
      </c>
      <c r="D72">
        <v>7</v>
      </c>
      <c r="E72" t="s">
        <v>12</v>
      </c>
      <c r="F72" t="s">
        <v>37</v>
      </c>
      <c r="G72" t="s">
        <v>4</v>
      </c>
      <c r="H72" t="s">
        <v>3</v>
      </c>
      <c r="S72" t="s">
        <v>36</v>
      </c>
      <c r="U72" t="s">
        <v>354</v>
      </c>
    </row>
    <row r="73" spans="1:21" x14ac:dyDescent="0.2">
      <c r="A73" t="s">
        <v>346</v>
      </c>
      <c r="C73">
        <v>2062710552</v>
      </c>
      <c r="D73">
        <v>19</v>
      </c>
      <c r="E73" t="s">
        <v>12</v>
      </c>
      <c r="F73" t="s">
        <v>35</v>
      </c>
      <c r="G73" t="s">
        <v>4</v>
      </c>
      <c r="H73" t="s">
        <v>3</v>
      </c>
      <c r="Q73" t="s">
        <v>34</v>
      </c>
      <c r="S73" t="s">
        <v>33</v>
      </c>
      <c r="U73" t="s">
        <v>354</v>
      </c>
    </row>
    <row r="74" spans="1:21" x14ac:dyDescent="0.2">
      <c r="A74" t="s">
        <v>346</v>
      </c>
      <c r="C74">
        <v>2072410974</v>
      </c>
      <c r="D74">
        <v>17</v>
      </c>
      <c r="E74" t="s">
        <v>12</v>
      </c>
      <c r="F74" t="s">
        <v>32</v>
      </c>
      <c r="G74" t="s">
        <v>4</v>
      </c>
      <c r="H74" t="s">
        <v>3</v>
      </c>
      <c r="Q74" t="s">
        <v>31</v>
      </c>
      <c r="S74" t="s">
        <v>30</v>
      </c>
      <c r="U74" t="s">
        <v>354</v>
      </c>
    </row>
    <row r="75" spans="1:21" x14ac:dyDescent="0.2">
      <c r="A75" t="s">
        <v>346</v>
      </c>
      <c r="C75">
        <v>2196210387</v>
      </c>
      <c r="D75">
        <v>6</v>
      </c>
      <c r="E75" t="s">
        <v>12</v>
      </c>
      <c r="F75" t="s">
        <v>29</v>
      </c>
      <c r="G75" t="s">
        <v>4</v>
      </c>
      <c r="H75" t="s">
        <v>3</v>
      </c>
      <c r="S75" t="s">
        <v>28</v>
      </c>
      <c r="U75" t="s">
        <v>354</v>
      </c>
    </row>
    <row r="76" spans="1:21" x14ac:dyDescent="0.2">
      <c r="A76" t="s">
        <v>346</v>
      </c>
      <c r="C76">
        <v>2220510348</v>
      </c>
      <c r="D76">
        <v>19</v>
      </c>
      <c r="E76" t="s">
        <v>12</v>
      </c>
      <c r="F76" t="s">
        <v>27</v>
      </c>
      <c r="G76" t="s">
        <v>4</v>
      </c>
      <c r="H76" t="s">
        <v>3</v>
      </c>
      <c r="S76" t="s">
        <v>26</v>
      </c>
      <c r="U76" t="s">
        <v>354</v>
      </c>
    </row>
    <row r="77" spans="1:21" x14ac:dyDescent="0.2">
      <c r="A77" t="s">
        <v>346</v>
      </c>
      <c r="C77">
        <v>2353710622</v>
      </c>
      <c r="D77">
        <v>16</v>
      </c>
      <c r="E77" t="s">
        <v>6</v>
      </c>
      <c r="F77" t="s">
        <v>25</v>
      </c>
      <c r="G77" t="s">
        <v>4</v>
      </c>
      <c r="H77" t="s">
        <v>3</v>
      </c>
      <c r="I77" t="s">
        <v>24</v>
      </c>
      <c r="Q77" t="s">
        <v>23</v>
      </c>
      <c r="S77" t="s">
        <v>22</v>
      </c>
      <c r="U77" t="s">
        <v>354</v>
      </c>
    </row>
    <row r="78" spans="1:21" x14ac:dyDescent="0.2">
      <c r="A78" t="s">
        <v>346</v>
      </c>
      <c r="C78">
        <v>2459710934</v>
      </c>
      <c r="D78">
        <v>3</v>
      </c>
      <c r="E78" t="s">
        <v>12</v>
      </c>
      <c r="F78" t="s">
        <v>21</v>
      </c>
      <c r="G78" t="s">
        <v>4</v>
      </c>
      <c r="H78" t="s">
        <v>3</v>
      </c>
      <c r="S78" t="s">
        <v>20</v>
      </c>
      <c r="U78" t="s">
        <v>354</v>
      </c>
    </row>
    <row r="79" spans="1:21" x14ac:dyDescent="0.2">
      <c r="A79" t="s">
        <v>347</v>
      </c>
      <c r="C79">
        <v>2625910670</v>
      </c>
      <c r="D79">
        <v>13</v>
      </c>
      <c r="E79" t="s">
        <v>6</v>
      </c>
      <c r="F79" t="s">
        <v>19</v>
      </c>
      <c r="G79" t="s">
        <v>4</v>
      </c>
      <c r="H79" t="s">
        <v>3</v>
      </c>
      <c r="Q79" t="s">
        <v>18</v>
      </c>
      <c r="S79" t="s">
        <v>17</v>
      </c>
      <c r="U79" t="s">
        <v>355</v>
      </c>
    </row>
    <row r="80" spans="1:21" x14ac:dyDescent="0.2">
      <c r="A80" t="s">
        <v>346</v>
      </c>
      <c r="C80">
        <v>2850010979</v>
      </c>
      <c r="D80">
        <v>2</v>
      </c>
      <c r="E80" t="s">
        <v>12</v>
      </c>
      <c r="F80" t="s">
        <v>16</v>
      </c>
      <c r="G80" t="s">
        <v>4</v>
      </c>
      <c r="H80" t="s">
        <v>3</v>
      </c>
      <c r="S80" t="s">
        <v>15</v>
      </c>
      <c r="U80" t="s">
        <v>354</v>
      </c>
    </row>
    <row r="81" spans="1:21" x14ac:dyDescent="0.2">
      <c r="A81" t="s">
        <v>346</v>
      </c>
      <c r="C81">
        <v>2990210861</v>
      </c>
      <c r="D81">
        <v>1</v>
      </c>
      <c r="E81" t="s">
        <v>12</v>
      </c>
      <c r="F81" t="s">
        <v>14</v>
      </c>
      <c r="G81" t="s">
        <v>4</v>
      </c>
      <c r="H81" t="s">
        <v>3</v>
      </c>
      <c r="S81" t="s">
        <v>13</v>
      </c>
      <c r="U81" t="s">
        <v>354</v>
      </c>
    </row>
    <row r="82" spans="1:21" x14ac:dyDescent="0.2">
      <c r="A82" t="s">
        <v>346</v>
      </c>
      <c r="C82">
        <v>3525210465</v>
      </c>
      <c r="D82">
        <v>53</v>
      </c>
      <c r="E82" t="s">
        <v>12</v>
      </c>
      <c r="F82" t="s">
        <v>11</v>
      </c>
      <c r="G82" t="s">
        <v>4</v>
      </c>
      <c r="H82" t="s">
        <v>3</v>
      </c>
      <c r="Q82" t="s">
        <v>10</v>
      </c>
      <c r="S82" t="s">
        <v>9</v>
      </c>
      <c r="U82" t="s">
        <v>354</v>
      </c>
    </row>
    <row r="83" spans="1:21" x14ac:dyDescent="0.2">
      <c r="A83" t="s">
        <v>346</v>
      </c>
      <c r="C83">
        <v>3782210815</v>
      </c>
      <c r="D83">
        <v>43</v>
      </c>
      <c r="E83" t="s">
        <v>6</v>
      </c>
      <c r="F83" t="s">
        <v>8</v>
      </c>
      <c r="G83" t="s">
        <v>4</v>
      </c>
      <c r="H83" t="s">
        <v>3</v>
      </c>
      <c r="S83" t="s">
        <v>7</v>
      </c>
      <c r="U83" t="s">
        <v>354</v>
      </c>
    </row>
    <row r="84" spans="1:21" x14ac:dyDescent="0.2">
      <c r="A84" t="s">
        <v>346</v>
      </c>
      <c r="C84">
        <v>4946010229</v>
      </c>
      <c r="D84">
        <v>5</v>
      </c>
      <c r="E84" t="s">
        <v>6</v>
      </c>
      <c r="F84" t="s">
        <v>5</v>
      </c>
      <c r="G84" t="s">
        <v>4</v>
      </c>
      <c r="H84" t="s">
        <v>3</v>
      </c>
      <c r="Q84" t="s">
        <v>2</v>
      </c>
      <c r="S84" t="s">
        <v>1</v>
      </c>
      <c r="U84" t="s">
        <v>354</v>
      </c>
    </row>
  </sheetData>
  <autoFilter ref="A1:V84" xr:uid="{E9E7FDFF-FC8A-D14F-8B97-92640D2952FA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4ED5-B138-D743-8F90-A74AD48D2C0A}">
  <dimension ref="A1:T84"/>
  <sheetViews>
    <sheetView topLeftCell="O1" zoomScale="75" zoomScaleNormal="75" workbookViewId="0">
      <selection activeCell="O17" sqref="O17"/>
    </sheetView>
  </sheetViews>
  <sheetFormatPr baseColWidth="10" defaultColWidth="11" defaultRowHeight="16" x14ac:dyDescent="0.2"/>
  <cols>
    <col min="1" max="1" width="11.1640625" bestFit="1" customWidth="1"/>
    <col min="2" max="2" width="6.6640625" bestFit="1" customWidth="1"/>
    <col min="3" max="3" width="9.33203125" bestFit="1" customWidth="1"/>
    <col min="4" max="4" width="20.33203125" bestFit="1" customWidth="1"/>
    <col min="5" max="5" width="13.6640625" bestFit="1" customWidth="1"/>
    <col min="6" max="6" width="29.83203125" customWidth="1"/>
    <col min="7" max="7" width="26.83203125" bestFit="1" customWidth="1"/>
    <col min="8" max="8" width="22.33203125" bestFit="1" customWidth="1"/>
    <col min="9" max="9" width="35.6640625" customWidth="1"/>
    <col min="10" max="10" width="36.5" hidden="1" customWidth="1"/>
    <col min="11" max="11" width="25.83203125" hidden="1" customWidth="1"/>
    <col min="12" max="12" width="22" hidden="1" customWidth="1"/>
    <col min="13" max="13" width="16.33203125" hidden="1" customWidth="1"/>
    <col min="14" max="14" width="0.1640625" hidden="1" customWidth="1"/>
    <col min="15" max="15" width="63.33203125" customWidth="1"/>
    <col min="16" max="16" width="21.5" customWidth="1"/>
    <col min="17" max="17" width="51.33203125" customWidth="1"/>
    <col min="18" max="18" width="8.33203125" bestFit="1" customWidth="1"/>
    <col min="20" max="20" width="11" customWidth="1"/>
  </cols>
  <sheetData>
    <row r="1" spans="1:20" x14ac:dyDescent="0.2">
      <c r="A1" t="s">
        <v>259</v>
      </c>
      <c r="B1" t="s">
        <v>258</v>
      </c>
      <c r="C1" t="s">
        <v>257</v>
      </c>
      <c r="D1" t="s">
        <v>256</v>
      </c>
      <c r="E1" t="s">
        <v>255</v>
      </c>
      <c r="F1" t="s">
        <v>254</v>
      </c>
      <c r="G1" t="s">
        <v>253</v>
      </c>
      <c r="H1" t="s">
        <v>252</v>
      </c>
      <c r="I1" t="s">
        <v>251</v>
      </c>
      <c r="J1" t="s">
        <v>250</v>
      </c>
      <c r="K1" t="s">
        <v>249</v>
      </c>
      <c r="L1" t="s">
        <v>248</v>
      </c>
      <c r="M1" t="s">
        <v>247</v>
      </c>
      <c r="N1" t="s">
        <v>246</v>
      </c>
      <c r="O1" t="s">
        <v>245</v>
      </c>
      <c r="P1" t="s">
        <v>244</v>
      </c>
      <c r="Q1" t="s">
        <v>243</v>
      </c>
      <c r="R1" t="s">
        <v>242</v>
      </c>
      <c r="S1" t="s">
        <v>343</v>
      </c>
      <c r="T1" t="s">
        <v>342</v>
      </c>
    </row>
    <row r="2" spans="1:20" x14ac:dyDescent="0.2">
      <c r="A2">
        <v>643110884</v>
      </c>
      <c r="B2">
        <v>50</v>
      </c>
      <c r="C2" t="s">
        <v>12</v>
      </c>
      <c r="D2" t="s">
        <v>240</v>
      </c>
      <c r="E2" t="s">
        <v>4</v>
      </c>
      <c r="F2" t="s">
        <v>239</v>
      </c>
      <c r="G2" t="s">
        <v>334</v>
      </c>
      <c r="H2" t="s">
        <v>334</v>
      </c>
      <c r="I2" t="s">
        <v>334</v>
      </c>
      <c r="J2" t="s">
        <v>334</v>
      </c>
      <c r="K2" t="s">
        <v>334</v>
      </c>
      <c r="L2" t="s">
        <v>334</v>
      </c>
      <c r="M2" t="s">
        <v>334</v>
      </c>
      <c r="N2" t="s">
        <v>334</v>
      </c>
      <c r="O2" t="s">
        <v>238</v>
      </c>
      <c r="P2" t="s">
        <v>334</v>
      </c>
      <c r="Q2" t="s">
        <v>237</v>
      </c>
      <c r="R2" t="s">
        <v>334</v>
      </c>
      <c r="S2" t="s">
        <v>333</v>
      </c>
    </row>
    <row r="3" spans="1:20" x14ac:dyDescent="0.2">
      <c r="A3">
        <v>706710306</v>
      </c>
      <c r="B3">
        <v>48</v>
      </c>
      <c r="C3" t="s">
        <v>12</v>
      </c>
      <c r="D3" t="s">
        <v>236</v>
      </c>
      <c r="E3" t="s">
        <v>4</v>
      </c>
      <c r="F3" t="s">
        <v>235</v>
      </c>
      <c r="G3" t="s">
        <v>334</v>
      </c>
      <c r="H3" t="s">
        <v>334</v>
      </c>
      <c r="I3" t="s">
        <v>334</v>
      </c>
      <c r="J3" t="s">
        <v>334</v>
      </c>
      <c r="K3" t="s">
        <v>334</v>
      </c>
      <c r="L3" t="s">
        <v>334</v>
      </c>
      <c r="M3" t="s">
        <v>334</v>
      </c>
      <c r="N3" t="s">
        <v>334</v>
      </c>
      <c r="O3" t="s">
        <v>234</v>
      </c>
      <c r="P3" t="s">
        <v>334</v>
      </c>
      <c r="Q3" t="s">
        <v>233</v>
      </c>
      <c r="R3" t="s">
        <v>334</v>
      </c>
      <c r="S3" t="s">
        <v>38</v>
      </c>
    </row>
    <row r="4" spans="1:20" x14ac:dyDescent="0.2">
      <c r="A4">
        <v>384210994</v>
      </c>
      <c r="B4">
        <v>30</v>
      </c>
      <c r="C4" t="s">
        <v>12</v>
      </c>
      <c r="D4" t="s">
        <v>232</v>
      </c>
      <c r="E4" t="s">
        <v>4</v>
      </c>
      <c r="F4" t="s">
        <v>231</v>
      </c>
      <c r="G4" t="s">
        <v>334</v>
      </c>
      <c r="H4" t="s">
        <v>334</v>
      </c>
      <c r="I4" t="s">
        <v>334</v>
      </c>
      <c r="J4" t="s">
        <v>334</v>
      </c>
      <c r="K4" t="s">
        <v>334</v>
      </c>
      <c r="L4" t="s">
        <v>334</v>
      </c>
      <c r="M4" t="s">
        <v>334</v>
      </c>
      <c r="N4" t="s">
        <v>334</v>
      </c>
      <c r="O4" t="s">
        <v>334</v>
      </c>
      <c r="P4" t="s">
        <v>334</v>
      </c>
      <c r="Q4" t="s">
        <v>230</v>
      </c>
      <c r="R4" t="s">
        <v>334</v>
      </c>
      <c r="S4" t="s">
        <v>333</v>
      </c>
    </row>
    <row r="5" spans="1:20" x14ac:dyDescent="0.2">
      <c r="A5">
        <v>1502010397</v>
      </c>
      <c r="B5">
        <v>15</v>
      </c>
      <c r="C5" t="s">
        <v>12</v>
      </c>
      <c r="D5" t="s">
        <v>229</v>
      </c>
      <c r="E5" t="s">
        <v>4</v>
      </c>
      <c r="F5" t="s">
        <v>228</v>
      </c>
      <c r="G5" t="s">
        <v>334</v>
      </c>
      <c r="H5" t="s">
        <v>334</v>
      </c>
      <c r="I5" t="s">
        <v>334</v>
      </c>
      <c r="J5" t="s">
        <v>334</v>
      </c>
      <c r="K5" t="s">
        <v>334</v>
      </c>
      <c r="L5" t="s">
        <v>334</v>
      </c>
      <c r="M5" t="s">
        <v>334</v>
      </c>
      <c r="N5" t="s">
        <v>334</v>
      </c>
      <c r="O5" t="s">
        <v>227</v>
      </c>
      <c r="P5" t="s">
        <v>334</v>
      </c>
      <c r="Q5" t="s">
        <v>226</v>
      </c>
      <c r="R5" t="s">
        <v>334</v>
      </c>
      <c r="S5" t="s">
        <v>337</v>
      </c>
      <c r="T5" t="s">
        <v>341</v>
      </c>
    </row>
    <row r="6" spans="1:20" x14ac:dyDescent="0.2">
      <c r="A6">
        <v>503810366</v>
      </c>
      <c r="B6">
        <v>72</v>
      </c>
      <c r="C6" t="s">
        <v>12</v>
      </c>
      <c r="D6" t="s">
        <v>225</v>
      </c>
      <c r="E6" t="s">
        <v>4</v>
      </c>
      <c r="F6" t="s">
        <v>220</v>
      </c>
      <c r="G6" t="s">
        <v>334</v>
      </c>
      <c r="H6" t="s">
        <v>334</v>
      </c>
      <c r="I6" t="s">
        <v>224</v>
      </c>
      <c r="J6" t="s">
        <v>334</v>
      </c>
      <c r="K6" t="s">
        <v>334</v>
      </c>
      <c r="L6" t="s">
        <v>334</v>
      </c>
      <c r="M6" t="s">
        <v>334</v>
      </c>
      <c r="N6" t="s">
        <v>334</v>
      </c>
      <c r="O6" t="s">
        <v>223</v>
      </c>
      <c r="P6" t="s">
        <v>334</v>
      </c>
      <c r="Q6" t="s">
        <v>222</v>
      </c>
      <c r="R6" t="s">
        <v>334</v>
      </c>
      <c r="S6" t="s">
        <v>38</v>
      </c>
    </row>
    <row r="7" spans="1:20" x14ac:dyDescent="0.2">
      <c r="A7">
        <v>5282710166</v>
      </c>
      <c r="B7">
        <v>22</v>
      </c>
      <c r="C7" t="s">
        <v>12</v>
      </c>
      <c r="D7" t="s">
        <v>221</v>
      </c>
      <c r="E7" t="s">
        <v>4</v>
      </c>
      <c r="F7" t="s">
        <v>220</v>
      </c>
      <c r="G7" t="s">
        <v>334</v>
      </c>
      <c r="H7" t="s">
        <v>334</v>
      </c>
      <c r="I7" t="s">
        <v>334</v>
      </c>
      <c r="J7" t="s">
        <v>334</v>
      </c>
      <c r="K7" t="s">
        <v>334</v>
      </c>
      <c r="L7" t="s">
        <v>334</v>
      </c>
      <c r="M7" t="s">
        <v>334</v>
      </c>
      <c r="N7" t="s">
        <v>334</v>
      </c>
      <c r="O7" t="s">
        <v>219</v>
      </c>
      <c r="P7" t="s">
        <v>334</v>
      </c>
      <c r="Q7" t="s">
        <v>218</v>
      </c>
      <c r="R7" t="s">
        <v>334</v>
      </c>
      <c r="S7" t="s">
        <v>38</v>
      </c>
    </row>
    <row r="8" spans="1:20" x14ac:dyDescent="0.2">
      <c r="A8">
        <v>153910595</v>
      </c>
      <c r="B8">
        <v>60</v>
      </c>
      <c r="C8" t="s">
        <v>12</v>
      </c>
      <c r="D8" t="s">
        <v>217</v>
      </c>
      <c r="E8" t="s">
        <v>4</v>
      </c>
      <c r="F8" t="s">
        <v>216</v>
      </c>
      <c r="G8" t="s">
        <v>334</v>
      </c>
      <c r="H8" t="s">
        <v>334</v>
      </c>
      <c r="I8" t="s">
        <v>334</v>
      </c>
      <c r="J8" t="s">
        <v>334</v>
      </c>
      <c r="K8" t="s">
        <v>334</v>
      </c>
      <c r="L8" t="s">
        <v>334</v>
      </c>
      <c r="M8" t="s">
        <v>334</v>
      </c>
      <c r="N8" t="s">
        <v>334</v>
      </c>
      <c r="O8" t="s">
        <v>215</v>
      </c>
      <c r="P8" t="s">
        <v>334</v>
      </c>
      <c r="Q8" t="s">
        <v>334</v>
      </c>
      <c r="R8" t="s">
        <v>334</v>
      </c>
      <c r="S8" t="s">
        <v>337</v>
      </c>
      <c r="T8" t="s">
        <v>340</v>
      </c>
    </row>
    <row r="9" spans="1:20" x14ac:dyDescent="0.2">
      <c r="A9">
        <v>239110163</v>
      </c>
      <c r="B9">
        <v>11</v>
      </c>
      <c r="C9" t="s">
        <v>6</v>
      </c>
      <c r="D9" t="s">
        <v>214</v>
      </c>
      <c r="E9" t="s">
        <v>4</v>
      </c>
      <c r="F9" t="s">
        <v>192</v>
      </c>
      <c r="G9" t="s">
        <v>334</v>
      </c>
      <c r="H9" t="s">
        <v>334</v>
      </c>
      <c r="I9" t="s">
        <v>334</v>
      </c>
      <c r="J9" t="s">
        <v>334</v>
      </c>
      <c r="K9" t="s">
        <v>334</v>
      </c>
      <c r="L9" t="s">
        <v>334</v>
      </c>
      <c r="M9" t="s">
        <v>334</v>
      </c>
      <c r="N9" t="s">
        <v>334</v>
      </c>
      <c r="O9" t="s">
        <v>213</v>
      </c>
      <c r="P9" t="s">
        <v>334</v>
      </c>
      <c r="Q9" t="s">
        <v>212</v>
      </c>
      <c r="R9" t="s">
        <v>334</v>
      </c>
      <c r="S9" t="s">
        <v>38</v>
      </c>
    </row>
    <row r="10" spans="1:20" x14ac:dyDescent="0.2">
      <c r="A10">
        <v>258510963</v>
      </c>
      <c r="B10">
        <v>48</v>
      </c>
      <c r="C10" t="s">
        <v>12</v>
      </c>
      <c r="D10" t="s">
        <v>211</v>
      </c>
      <c r="E10" t="s">
        <v>4</v>
      </c>
      <c r="F10" t="s">
        <v>192</v>
      </c>
      <c r="G10" t="s">
        <v>334</v>
      </c>
      <c r="H10" t="s">
        <v>334</v>
      </c>
      <c r="I10" t="s">
        <v>334</v>
      </c>
      <c r="J10" t="s">
        <v>334</v>
      </c>
      <c r="K10" t="s">
        <v>334</v>
      </c>
      <c r="L10" t="s">
        <v>334</v>
      </c>
      <c r="M10" t="s">
        <v>334</v>
      </c>
      <c r="N10" t="s">
        <v>334</v>
      </c>
      <c r="O10" t="s">
        <v>334</v>
      </c>
      <c r="P10" t="s">
        <v>334</v>
      </c>
      <c r="Q10" t="s">
        <v>210</v>
      </c>
      <c r="R10" t="s">
        <v>334</v>
      </c>
      <c r="S10" t="s">
        <v>333</v>
      </c>
    </row>
    <row r="11" spans="1:20" x14ac:dyDescent="0.2">
      <c r="A11">
        <v>366910461</v>
      </c>
      <c r="B11">
        <v>15</v>
      </c>
      <c r="C11" t="s">
        <v>12</v>
      </c>
      <c r="D11" t="s">
        <v>209</v>
      </c>
      <c r="E11" t="s">
        <v>4</v>
      </c>
      <c r="F11" t="s">
        <v>192</v>
      </c>
      <c r="G11" t="s">
        <v>334</v>
      </c>
      <c r="H11" t="s">
        <v>334</v>
      </c>
      <c r="I11" t="s">
        <v>334</v>
      </c>
      <c r="J11" t="s">
        <v>334</v>
      </c>
      <c r="K11" t="s">
        <v>334</v>
      </c>
      <c r="L11" t="s">
        <v>334</v>
      </c>
      <c r="M11" t="s">
        <v>334</v>
      </c>
      <c r="N11" t="s">
        <v>334</v>
      </c>
      <c r="O11" t="s">
        <v>334</v>
      </c>
      <c r="P11" t="s">
        <v>334</v>
      </c>
      <c r="Q11" t="s">
        <v>208</v>
      </c>
      <c r="R11" t="s">
        <v>334</v>
      </c>
      <c r="S11" t="s">
        <v>333</v>
      </c>
    </row>
    <row r="12" spans="1:20" x14ac:dyDescent="0.2">
      <c r="A12">
        <v>592410349</v>
      </c>
      <c r="B12">
        <v>21</v>
      </c>
      <c r="C12" t="s">
        <v>12</v>
      </c>
      <c r="D12" t="s">
        <v>207</v>
      </c>
      <c r="E12" t="s">
        <v>4</v>
      </c>
      <c r="F12" t="s">
        <v>206</v>
      </c>
      <c r="G12" t="s">
        <v>334</v>
      </c>
      <c r="H12" t="s">
        <v>334</v>
      </c>
      <c r="I12" t="s">
        <v>334</v>
      </c>
      <c r="J12" t="s">
        <v>334</v>
      </c>
      <c r="K12" t="s">
        <v>334</v>
      </c>
      <c r="L12" t="s">
        <v>334</v>
      </c>
      <c r="M12" t="s">
        <v>334</v>
      </c>
      <c r="N12" t="s">
        <v>334</v>
      </c>
      <c r="O12" t="s">
        <v>205</v>
      </c>
      <c r="P12" t="s">
        <v>334</v>
      </c>
      <c r="Q12" t="s">
        <v>204</v>
      </c>
      <c r="R12" t="s">
        <v>334</v>
      </c>
      <c r="S12" t="s">
        <v>333</v>
      </c>
    </row>
    <row r="13" spans="1:20" x14ac:dyDescent="0.2">
      <c r="A13">
        <v>1094310233</v>
      </c>
      <c r="B13">
        <v>4</v>
      </c>
      <c r="C13" t="s">
        <v>12</v>
      </c>
      <c r="D13" t="s">
        <v>203</v>
      </c>
      <c r="E13" t="s">
        <v>4</v>
      </c>
      <c r="F13" t="s">
        <v>192</v>
      </c>
      <c r="G13" t="s">
        <v>334</v>
      </c>
      <c r="H13" t="s">
        <v>334</v>
      </c>
      <c r="I13" t="s">
        <v>334</v>
      </c>
      <c r="J13" t="s">
        <v>334</v>
      </c>
      <c r="K13" t="s">
        <v>334</v>
      </c>
      <c r="L13" t="s">
        <v>334</v>
      </c>
      <c r="M13" t="s">
        <v>334</v>
      </c>
      <c r="N13" t="s">
        <v>334</v>
      </c>
      <c r="O13" t="s">
        <v>202</v>
      </c>
      <c r="P13" t="s">
        <v>334</v>
      </c>
      <c r="Q13" t="s">
        <v>201</v>
      </c>
      <c r="R13" t="s">
        <v>334</v>
      </c>
      <c r="S13" t="s">
        <v>333</v>
      </c>
    </row>
    <row r="14" spans="1:20" x14ac:dyDescent="0.2">
      <c r="A14">
        <v>1237910593</v>
      </c>
      <c r="B14">
        <v>4</v>
      </c>
      <c r="C14" t="s">
        <v>12</v>
      </c>
      <c r="D14" t="s">
        <v>200</v>
      </c>
      <c r="E14" t="s">
        <v>4</v>
      </c>
      <c r="F14" t="s">
        <v>192</v>
      </c>
      <c r="G14" t="s">
        <v>334</v>
      </c>
      <c r="H14" t="s">
        <v>334</v>
      </c>
      <c r="I14" t="s">
        <v>334</v>
      </c>
      <c r="J14" t="s">
        <v>334</v>
      </c>
      <c r="K14" t="s">
        <v>334</v>
      </c>
      <c r="L14" t="s">
        <v>334</v>
      </c>
      <c r="M14" t="s">
        <v>334</v>
      </c>
      <c r="N14" t="s">
        <v>334</v>
      </c>
      <c r="O14" t="s">
        <v>199</v>
      </c>
      <c r="P14" t="s">
        <v>334</v>
      </c>
      <c r="Q14" t="s">
        <v>198</v>
      </c>
      <c r="R14" t="s">
        <v>334</v>
      </c>
      <c r="S14" t="s">
        <v>38</v>
      </c>
    </row>
    <row r="15" spans="1:20" x14ac:dyDescent="0.2">
      <c r="A15">
        <v>1489110030</v>
      </c>
      <c r="B15">
        <v>60</v>
      </c>
      <c r="C15" t="s">
        <v>6</v>
      </c>
      <c r="D15" t="s">
        <v>197</v>
      </c>
      <c r="E15" t="s">
        <v>4</v>
      </c>
      <c r="F15" t="s">
        <v>192</v>
      </c>
      <c r="G15" t="s">
        <v>334</v>
      </c>
      <c r="H15" t="s">
        <v>334</v>
      </c>
      <c r="I15" t="s">
        <v>334</v>
      </c>
      <c r="J15" t="s">
        <v>334</v>
      </c>
      <c r="K15" t="s">
        <v>334</v>
      </c>
      <c r="L15" t="s">
        <v>334</v>
      </c>
      <c r="M15" t="s">
        <v>334</v>
      </c>
      <c r="N15" t="s">
        <v>334</v>
      </c>
      <c r="O15" t="s">
        <v>334</v>
      </c>
      <c r="P15" t="s">
        <v>334</v>
      </c>
      <c r="Q15" t="s">
        <v>334</v>
      </c>
      <c r="R15" t="s">
        <v>334</v>
      </c>
      <c r="S15" t="s">
        <v>337</v>
      </c>
      <c r="T15" t="s">
        <v>338</v>
      </c>
    </row>
    <row r="16" spans="1:20" x14ac:dyDescent="0.2">
      <c r="A16">
        <v>3333010111</v>
      </c>
      <c r="B16">
        <v>5</v>
      </c>
      <c r="C16" t="s">
        <v>6</v>
      </c>
      <c r="D16" t="s">
        <v>196</v>
      </c>
      <c r="E16" t="s">
        <v>4</v>
      </c>
      <c r="F16" t="s">
        <v>195</v>
      </c>
      <c r="G16" t="s">
        <v>334</v>
      </c>
      <c r="H16" t="s">
        <v>334</v>
      </c>
      <c r="I16" t="s">
        <v>334</v>
      </c>
      <c r="J16" t="s">
        <v>334</v>
      </c>
      <c r="K16" t="s">
        <v>334</v>
      </c>
      <c r="L16" t="s">
        <v>334</v>
      </c>
      <c r="M16" t="s">
        <v>334</v>
      </c>
      <c r="N16" t="s">
        <v>334</v>
      </c>
      <c r="O16" t="s">
        <v>334</v>
      </c>
      <c r="P16" t="s">
        <v>334</v>
      </c>
      <c r="Q16" t="s">
        <v>194</v>
      </c>
      <c r="R16" t="s">
        <v>334</v>
      </c>
      <c r="S16" t="s">
        <v>333</v>
      </c>
    </row>
    <row r="17" spans="1:20" x14ac:dyDescent="0.2">
      <c r="A17">
        <v>4298610465</v>
      </c>
      <c r="B17">
        <v>33</v>
      </c>
      <c r="C17" t="s">
        <v>12</v>
      </c>
      <c r="D17" t="s">
        <v>193</v>
      </c>
      <c r="E17" t="s">
        <v>4</v>
      </c>
      <c r="F17" t="s">
        <v>192</v>
      </c>
      <c r="G17" t="s">
        <v>334</v>
      </c>
      <c r="H17" t="s">
        <v>334</v>
      </c>
      <c r="I17" t="s">
        <v>334</v>
      </c>
      <c r="J17" t="s">
        <v>334</v>
      </c>
      <c r="K17" t="s">
        <v>334</v>
      </c>
      <c r="L17" t="s">
        <v>334</v>
      </c>
      <c r="M17" t="s">
        <v>334</v>
      </c>
      <c r="N17" t="s">
        <v>334</v>
      </c>
      <c r="O17" t="s">
        <v>191</v>
      </c>
      <c r="P17" t="s">
        <v>334</v>
      </c>
      <c r="Q17" t="s">
        <v>190</v>
      </c>
      <c r="R17" t="s">
        <v>334</v>
      </c>
      <c r="S17" t="s">
        <v>38</v>
      </c>
    </row>
    <row r="18" spans="1:20" x14ac:dyDescent="0.2">
      <c r="A18">
        <v>863610325</v>
      </c>
      <c r="B18">
        <v>23</v>
      </c>
      <c r="C18" t="s">
        <v>6</v>
      </c>
      <c r="D18" t="s">
        <v>189</v>
      </c>
      <c r="E18" t="s">
        <v>4</v>
      </c>
      <c r="F18" t="s">
        <v>188</v>
      </c>
      <c r="G18" t="s">
        <v>334</v>
      </c>
      <c r="H18" t="s">
        <v>334</v>
      </c>
      <c r="I18" t="s">
        <v>334</v>
      </c>
      <c r="J18" t="s">
        <v>334</v>
      </c>
      <c r="K18" t="s">
        <v>334</v>
      </c>
      <c r="L18" t="s">
        <v>334</v>
      </c>
      <c r="M18" t="s">
        <v>334</v>
      </c>
      <c r="N18" t="s">
        <v>334</v>
      </c>
      <c r="O18" t="s">
        <v>334</v>
      </c>
      <c r="P18" t="s">
        <v>334</v>
      </c>
      <c r="Q18" t="s">
        <v>187</v>
      </c>
      <c r="R18" t="s">
        <v>334</v>
      </c>
      <c r="S18" t="s">
        <v>38</v>
      </c>
    </row>
    <row r="19" spans="1:20" x14ac:dyDescent="0.2">
      <c r="A19">
        <v>3882310263</v>
      </c>
      <c r="B19">
        <v>6</v>
      </c>
      <c r="C19" t="s">
        <v>12</v>
      </c>
      <c r="D19" t="s">
        <v>186</v>
      </c>
      <c r="E19" t="s">
        <v>4</v>
      </c>
      <c r="F19" t="s">
        <v>185</v>
      </c>
      <c r="G19" t="s">
        <v>334</v>
      </c>
      <c r="H19" t="s">
        <v>334</v>
      </c>
      <c r="I19" t="s">
        <v>334</v>
      </c>
      <c r="J19" t="s">
        <v>334</v>
      </c>
      <c r="K19" t="s">
        <v>334</v>
      </c>
      <c r="L19" t="s">
        <v>334</v>
      </c>
      <c r="M19" t="s">
        <v>334</v>
      </c>
      <c r="N19" t="s">
        <v>334</v>
      </c>
      <c r="O19" t="s">
        <v>334</v>
      </c>
      <c r="P19" t="s">
        <v>334</v>
      </c>
      <c r="Q19" t="s">
        <v>184</v>
      </c>
      <c r="R19" t="s">
        <v>334</v>
      </c>
      <c r="S19" t="s">
        <v>333</v>
      </c>
    </row>
    <row r="20" spans="1:20" x14ac:dyDescent="0.2">
      <c r="A20">
        <v>502810717</v>
      </c>
      <c r="B20">
        <v>35</v>
      </c>
      <c r="C20" t="s">
        <v>12</v>
      </c>
      <c r="D20" t="s">
        <v>183</v>
      </c>
      <c r="E20" t="s">
        <v>4</v>
      </c>
      <c r="F20" t="s">
        <v>177</v>
      </c>
      <c r="G20" t="s">
        <v>334</v>
      </c>
      <c r="H20" t="s">
        <v>334</v>
      </c>
      <c r="I20" t="s">
        <v>182</v>
      </c>
      <c r="J20" t="s">
        <v>334</v>
      </c>
      <c r="K20" t="s">
        <v>334</v>
      </c>
      <c r="L20" t="s">
        <v>334</v>
      </c>
      <c r="M20" t="s">
        <v>334</v>
      </c>
      <c r="N20" t="s">
        <v>334</v>
      </c>
      <c r="O20" t="s">
        <v>334</v>
      </c>
      <c r="P20" t="s">
        <v>334</v>
      </c>
      <c r="Q20" t="s">
        <v>181</v>
      </c>
      <c r="R20" t="s">
        <v>334</v>
      </c>
      <c r="S20" t="s">
        <v>38</v>
      </c>
    </row>
    <row r="21" spans="1:20" x14ac:dyDescent="0.2">
      <c r="A21">
        <v>811810047</v>
      </c>
      <c r="B21">
        <v>66</v>
      </c>
      <c r="C21" t="s">
        <v>12</v>
      </c>
      <c r="D21" t="s">
        <v>180</v>
      </c>
      <c r="E21" t="s">
        <v>4</v>
      </c>
      <c r="F21" t="s">
        <v>177</v>
      </c>
      <c r="G21" t="s">
        <v>334</v>
      </c>
      <c r="H21" t="s">
        <v>334</v>
      </c>
      <c r="I21" t="s">
        <v>334</v>
      </c>
      <c r="J21" t="s">
        <v>334</v>
      </c>
      <c r="K21" t="s">
        <v>334</v>
      </c>
      <c r="L21" t="s">
        <v>334</v>
      </c>
      <c r="M21" t="s">
        <v>334</v>
      </c>
      <c r="N21" t="s">
        <v>334</v>
      </c>
      <c r="O21" t="s">
        <v>334</v>
      </c>
      <c r="P21" t="s">
        <v>334</v>
      </c>
      <c r="Q21" t="s">
        <v>179</v>
      </c>
      <c r="R21" t="s">
        <v>334</v>
      </c>
      <c r="S21" t="s">
        <v>38</v>
      </c>
    </row>
    <row r="22" spans="1:20" x14ac:dyDescent="0.2">
      <c r="A22">
        <v>1626210870</v>
      </c>
      <c r="B22">
        <v>4</v>
      </c>
      <c r="C22" t="s">
        <v>6</v>
      </c>
      <c r="D22" t="s">
        <v>178</v>
      </c>
      <c r="E22" t="s">
        <v>4</v>
      </c>
      <c r="F22" t="s">
        <v>177</v>
      </c>
      <c r="G22" t="s">
        <v>334</v>
      </c>
      <c r="H22" t="s">
        <v>334</v>
      </c>
      <c r="I22" t="s">
        <v>334</v>
      </c>
      <c r="J22" t="s">
        <v>334</v>
      </c>
      <c r="K22" t="s">
        <v>334</v>
      </c>
      <c r="L22" t="s">
        <v>334</v>
      </c>
      <c r="M22" t="s">
        <v>334</v>
      </c>
      <c r="N22" t="s">
        <v>334</v>
      </c>
      <c r="O22" t="s">
        <v>334</v>
      </c>
      <c r="P22" t="s">
        <v>334</v>
      </c>
      <c r="Q22" t="s">
        <v>176</v>
      </c>
      <c r="R22" t="s">
        <v>334</v>
      </c>
      <c r="S22" t="s">
        <v>38</v>
      </c>
    </row>
    <row r="23" spans="1:20" x14ac:dyDescent="0.2">
      <c r="A23">
        <v>2213210607</v>
      </c>
      <c r="B23">
        <v>45</v>
      </c>
      <c r="C23" t="s">
        <v>6</v>
      </c>
      <c r="D23" t="s">
        <v>175</v>
      </c>
      <c r="E23" t="s">
        <v>4</v>
      </c>
      <c r="F23" t="s">
        <v>174</v>
      </c>
      <c r="G23" t="s">
        <v>334</v>
      </c>
      <c r="H23" t="s">
        <v>334</v>
      </c>
      <c r="I23" t="s">
        <v>334</v>
      </c>
      <c r="J23" t="s">
        <v>334</v>
      </c>
      <c r="K23" t="s">
        <v>334</v>
      </c>
      <c r="L23" t="s">
        <v>334</v>
      </c>
      <c r="M23" t="s">
        <v>334</v>
      </c>
      <c r="N23" t="s">
        <v>334</v>
      </c>
      <c r="O23" t="s">
        <v>173</v>
      </c>
      <c r="P23" t="s">
        <v>334</v>
      </c>
      <c r="Q23" t="s">
        <v>172</v>
      </c>
      <c r="R23" t="s">
        <v>334</v>
      </c>
      <c r="S23" t="s">
        <v>38</v>
      </c>
    </row>
    <row r="24" spans="1:20" x14ac:dyDescent="0.2">
      <c r="A24">
        <v>5494710200</v>
      </c>
      <c r="B24">
        <v>13</v>
      </c>
      <c r="C24" t="s">
        <v>12</v>
      </c>
      <c r="D24" t="s">
        <v>171</v>
      </c>
      <c r="E24" t="s">
        <v>4</v>
      </c>
      <c r="F24" t="s">
        <v>170</v>
      </c>
      <c r="G24" t="s">
        <v>334</v>
      </c>
      <c r="H24" t="s">
        <v>334</v>
      </c>
      <c r="I24" t="s">
        <v>334</v>
      </c>
      <c r="J24" t="s">
        <v>334</v>
      </c>
      <c r="K24" t="s">
        <v>334</v>
      </c>
      <c r="L24" t="s">
        <v>334</v>
      </c>
      <c r="M24" t="s">
        <v>334</v>
      </c>
      <c r="N24" t="s">
        <v>334</v>
      </c>
      <c r="O24" t="s">
        <v>334</v>
      </c>
      <c r="P24" t="s">
        <v>334</v>
      </c>
      <c r="Q24" t="s">
        <v>169</v>
      </c>
      <c r="R24" t="s">
        <v>334</v>
      </c>
      <c r="S24" t="s">
        <v>333</v>
      </c>
    </row>
    <row r="25" spans="1:20" x14ac:dyDescent="0.2">
      <c r="A25">
        <v>1525510677</v>
      </c>
      <c r="B25">
        <v>36</v>
      </c>
      <c r="C25" t="s">
        <v>12</v>
      </c>
      <c r="D25" t="s">
        <v>168</v>
      </c>
      <c r="E25" t="s">
        <v>4</v>
      </c>
      <c r="F25" t="s">
        <v>167</v>
      </c>
      <c r="G25" t="s">
        <v>334</v>
      </c>
      <c r="H25" t="s">
        <v>334</v>
      </c>
      <c r="I25" t="s">
        <v>334</v>
      </c>
      <c r="J25" t="s">
        <v>334</v>
      </c>
      <c r="K25" t="s">
        <v>334</v>
      </c>
      <c r="L25" t="s">
        <v>334</v>
      </c>
      <c r="M25" t="s">
        <v>334</v>
      </c>
      <c r="N25" t="s">
        <v>334</v>
      </c>
      <c r="O25" t="s">
        <v>166</v>
      </c>
      <c r="P25" t="s">
        <v>334</v>
      </c>
      <c r="Q25" t="s">
        <v>165</v>
      </c>
      <c r="R25" t="s">
        <v>334</v>
      </c>
      <c r="S25" t="s">
        <v>38</v>
      </c>
    </row>
    <row r="26" spans="1:20" x14ac:dyDescent="0.2">
      <c r="A26">
        <v>3810766</v>
      </c>
      <c r="B26">
        <v>11</v>
      </c>
      <c r="C26" t="s">
        <v>12</v>
      </c>
      <c r="D26" t="s">
        <v>164</v>
      </c>
      <c r="E26" t="s">
        <v>4</v>
      </c>
      <c r="F26" t="s">
        <v>3</v>
      </c>
      <c r="G26" t="s">
        <v>334</v>
      </c>
      <c r="H26" t="s">
        <v>334</v>
      </c>
      <c r="I26" t="s">
        <v>334</v>
      </c>
      <c r="J26" t="s">
        <v>334</v>
      </c>
      <c r="K26" t="s">
        <v>334</v>
      </c>
      <c r="L26" t="s">
        <v>334</v>
      </c>
      <c r="M26" t="s">
        <v>334</v>
      </c>
      <c r="N26" t="s">
        <v>334</v>
      </c>
      <c r="O26" t="s">
        <v>163</v>
      </c>
      <c r="P26" t="s">
        <v>334</v>
      </c>
      <c r="Q26" t="s">
        <v>162</v>
      </c>
      <c r="R26" t="s">
        <v>334</v>
      </c>
      <c r="S26" t="s">
        <v>38</v>
      </c>
    </row>
    <row r="27" spans="1:20" x14ac:dyDescent="0.2">
      <c r="A27">
        <v>4610438</v>
      </c>
      <c r="B27">
        <v>72</v>
      </c>
      <c r="C27" t="s">
        <v>12</v>
      </c>
      <c r="D27" t="s">
        <v>161</v>
      </c>
      <c r="E27" t="s">
        <v>4</v>
      </c>
      <c r="F27" t="s">
        <v>160</v>
      </c>
      <c r="G27" t="s">
        <v>334</v>
      </c>
      <c r="H27" t="s">
        <v>334</v>
      </c>
      <c r="I27" t="s">
        <v>159</v>
      </c>
      <c r="J27" t="s">
        <v>334</v>
      </c>
      <c r="K27" t="s">
        <v>334</v>
      </c>
      <c r="L27" t="s">
        <v>334</v>
      </c>
      <c r="M27" t="s">
        <v>334</v>
      </c>
      <c r="N27" t="s">
        <v>334</v>
      </c>
      <c r="O27" t="s">
        <v>158</v>
      </c>
      <c r="P27" t="s">
        <v>334</v>
      </c>
      <c r="Q27" t="s">
        <v>157</v>
      </c>
      <c r="R27" t="s">
        <v>334</v>
      </c>
      <c r="S27" t="s">
        <v>38</v>
      </c>
    </row>
    <row r="28" spans="1:20" x14ac:dyDescent="0.2">
      <c r="A28">
        <v>9710983</v>
      </c>
      <c r="B28">
        <v>12</v>
      </c>
      <c r="C28" t="s">
        <v>12</v>
      </c>
      <c r="D28" t="s">
        <v>156</v>
      </c>
      <c r="E28" t="s">
        <v>4</v>
      </c>
      <c r="F28" t="s">
        <v>3</v>
      </c>
      <c r="G28" t="s">
        <v>334</v>
      </c>
      <c r="H28" t="s">
        <v>334</v>
      </c>
      <c r="I28" t="s">
        <v>334</v>
      </c>
      <c r="J28" t="s">
        <v>334</v>
      </c>
      <c r="K28" t="s">
        <v>334</v>
      </c>
      <c r="L28" t="s">
        <v>334</v>
      </c>
      <c r="M28" t="s">
        <v>334</v>
      </c>
      <c r="N28" t="s">
        <v>334</v>
      </c>
      <c r="O28" t="s">
        <v>155</v>
      </c>
      <c r="P28" t="s">
        <v>334</v>
      </c>
      <c r="Q28" t="s">
        <v>154</v>
      </c>
      <c r="R28" t="s">
        <v>334</v>
      </c>
      <c r="S28" t="s">
        <v>38</v>
      </c>
    </row>
    <row r="29" spans="1:20" x14ac:dyDescent="0.2">
      <c r="A29">
        <v>62910668</v>
      </c>
      <c r="B29">
        <v>59</v>
      </c>
      <c r="C29" t="s">
        <v>12</v>
      </c>
      <c r="D29" t="s">
        <v>153</v>
      </c>
      <c r="E29" t="s">
        <v>4</v>
      </c>
      <c r="F29" t="s">
        <v>3</v>
      </c>
      <c r="G29" t="s">
        <v>334</v>
      </c>
      <c r="H29" t="s">
        <v>334</v>
      </c>
      <c r="I29" t="s">
        <v>334</v>
      </c>
      <c r="J29" t="s">
        <v>334</v>
      </c>
      <c r="K29" t="s">
        <v>334</v>
      </c>
      <c r="L29" t="s">
        <v>334</v>
      </c>
      <c r="M29" t="s">
        <v>334</v>
      </c>
      <c r="N29" t="s">
        <v>334</v>
      </c>
      <c r="O29" t="s">
        <v>152</v>
      </c>
      <c r="P29" t="s">
        <v>334</v>
      </c>
      <c r="Q29" t="s">
        <v>151</v>
      </c>
      <c r="R29" t="s">
        <v>334</v>
      </c>
      <c r="S29" t="s">
        <v>333</v>
      </c>
    </row>
    <row r="30" spans="1:20" x14ac:dyDescent="0.2">
      <c r="A30">
        <v>70210987</v>
      </c>
      <c r="B30">
        <v>75</v>
      </c>
      <c r="C30" t="s">
        <v>12</v>
      </c>
      <c r="D30" t="s">
        <v>150</v>
      </c>
      <c r="E30" t="s">
        <v>4</v>
      </c>
      <c r="F30" t="s">
        <v>3</v>
      </c>
      <c r="G30" t="s">
        <v>334</v>
      </c>
      <c r="H30" t="s">
        <v>334</v>
      </c>
      <c r="I30" t="s">
        <v>334</v>
      </c>
      <c r="J30" t="s">
        <v>334</v>
      </c>
      <c r="K30" t="s">
        <v>334</v>
      </c>
      <c r="L30" t="s">
        <v>334</v>
      </c>
      <c r="M30" t="s">
        <v>334</v>
      </c>
      <c r="N30" t="s">
        <v>334</v>
      </c>
      <c r="O30" t="s">
        <v>334</v>
      </c>
      <c r="P30" t="s">
        <v>334</v>
      </c>
      <c r="Q30" t="s">
        <v>334</v>
      </c>
      <c r="R30" t="s">
        <v>334</v>
      </c>
      <c r="S30" t="s">
        <v>337</v>
      </c>
      <c r="T30" t="s">
        <v>338</v>
      </c>
    </row>
    <row r="31" spans="1:20" x14ac:dyDescent="0.2">
      <c r="A31">
        <v>87610928</v>
      </c>
      <c r="B31">
        <v>14</v>
      </c>
      <c r="C31" t="s">
        <v>12</v>
      </c>
      <c r="D31" t="s">
        <v>149</v>
      </c>
      <c r="E31" t="s">
        <v>4</v>
      </c>
      <c r="F31" t="s">
        <v>3</v>
      </c>
      <c r="G31" t="s">
        <v>334</v>
      </c>
      <c r="H31" t="s">
        <v>334</v>
      </c>
      <c r="I31" t="s">
        <v>334</v>
      </c>
      <c r="J31" t="s">
        <v>334</v>
      </c>
      <c r="K31" t="s">
        <v>334</v>
      </c>
      <c r="L31" t="s">
        <v>334</v>
      </c>
      <c r="M31" t="s">
        <v>334</v>
      </c>
      <c r="N31" t="s">
        <v>334</v>
      </c>
      <c r="O31" t="s">
        <v>148</v>
      </c>
      <c r="P31" t="s">
        <v>334</v>
      </c>
      <c r="Q31" t="s">
        <v>147</v>
      </c>
      <c r="R31" t="s">
        <v>334</v>
      </c>
      <c r="S31" t="s">
        <v>38</v>
      </c>
    </row>
    <row r="32" spans="1:20" x14ac:dyDescent="0.2">
      <c r="A32">
        <v>92810885</v>
      </c>
      <c r="B32">
        <v>24</v>
      </c>
      <c r="C32" t="s">
        <v>12</v>
      </c>
      <c r="D32" t="s">
        <v>146</v>
      </c>
      <c r="E32" t="s">
        <v>4</v>
      </c>
      <c r="F32" t="s">
        <v>3</v>
      </c>
      <c r="G32" t="s">
        <v>334</v>
      </c>
      <c r="H32" t="s">
        <v>334</v>
      </c>
      <c r="I32" t="s">
        <v>334</v>
      </c>
      <c r="J32" t="s">
        <v>334</v>
      </c>
      <c r="K32" t="s">
        <v>334</v>
      </c>
      <c r="L32" t="s">
        <v>334</v>
      </c>
      <c r="M32" t="s">
        <v>334</v>
      </c>
      <c r="N32" t="s">
        <v>334</v>
      </c>
      <c r="O32" t="s">
        <v>145</v>
      </c>
      <c r="P32" t="s">
        <v>334</v>
      </c>
      <c r="Q32" t="s">
        <v>144</v>
      </c>
      <c r="R32" t="s">
        <v>334</v>
      </c>
      <c r="S32" t="s">
        <v>38</v>
      </c>
    </row>
    <row r="33" spans="1:20" x14ac:dyDescent="0.2">
      <c r="A33">
        <v>129310347</v>
      </c>
      <c r="B33">
        <v>30</v>
      </c>
      <c r="C33" t="s">
        <v>12</v>
      </c>
      <c r="D33" t="s">
        <v>143</v>
      </c>
      <c r="E33" t="s">
        <v>4</v>
      </c>
      <c r="F33" t="s">
        <v>3</v>
      </c>
      <c r="G33" t="s">
        <v>334</v>
      </c>
      <c r="H33" t="s">
        <v>334</v>
      </c>
      <c r="I33" t="s">
        <v>334</v>
      </c>
      <c r="J33" t="s">
        <v>334</v>
      </c>
      <c r="K33" t="s">
        <v>334</v>
      </c>
      <c r="L33" t="s">
        <v>334</v>
      </c>
      <c r="M33" t="s">
        <v>334</v>
      </c>
      <c r="N33" t="s">
        <v>334</v>
      </c>
      <c r="O33" t="s">
        <v>142</v>
      </c>
      <c r="P33" t="s">
        <v>334</v>
      </c>
      <c r="Q33" t="s">
        <v>141</v>
      </c>
      <c r="R33" t="s">
        <v>334</v>
      </c>
      <c r="S33" t="s">
        <v>38</v>
      </c>
    </row>
    <row r="34" spans="1:20" x14ac:dyDescent="0.2">
      <c r="A34">
        <v>214510962</v>
      </c>
      <c r="B34">
        <v>67</v>
      </c>
      <c r="C34" t="s">
        <v>6</v>
      </c>
      <c r="D34" t="s">
        <v>140</v>
      </c>
      <c r="E34" t="s">
        <v>4</v>
      </c>
      <c r="F34" t="s">
        <v>3</v>
      </c>
      <c r="G34" t="s">
        <v>334</v>
      </c>
      <c r="H34" t="s">
        <v>334</v>
      </c>
      <c r="I34" t="s">
        <v>139</v>
      </c>
      <c r="J34" t="s">
        <v>334</v>
      </c>
      <c r="K34" t="s">
        <v>334</v>
      </c>
      <c r="L34" t="s">
        <v>334</v>
      </c>
      <c r="M34" t="s">
        <v>334</v>
      </c>
      <c r="N34" t="s">
        <v>334</v>
      </c>
      <c r="O34" t="s">
        <v>334</v>
      </c>
      <c r="P34" t="s">
        <v>334</v>
      </c>
      <c r="Q34" t="s">
        <v>138</v>
      </c>
      <c r="R34" t="s">
        <v>334</v>
      </c>
      <c r="S34" t="s">
        <v>333</v>
      </c>
    </row>
    <row r="35" spans="1:20" x14ac:dyDescent="0.2">
      <c r="A35">
        <v>244010017</v>
      </c>
      <c r="B35">
        <v>17</v>
      </c>
      <c r="C35" t="s">
        <v>6</v>
      </c>
      <c r="D35" t="s">
        <v>137</v>
      </c>
      <c r="E35" t="s">
        <v>4</v>
      </c>
      <c r="F35" t="s">
        <v>136</v>
      </c>
      <c r="G35" t="s">
        <v>334</v>
      </c>
      <c r="H35" t="s">
        <v>334</v>
      </c>
      <c r="I35" t="s">
        <v>334</v>
      </c>
      <c r="J35" t="s">
        <v>334</v>
      </c>
      <c r="K35" t="s">
        <v>334</v>
      </c>
      <c r="L35" t="s">
        <v>334</v>
      </c>
      <c r="M35" t="s">
        <v>334</v>
      </c>
      <c r="N35" t="s">
        <v>334</v>
      </c>
      <c r="O35" t="s">
        <v>135</v>
      </c>
      <c r="P35" t="s">
        <v>334</v>
      </c>
      <c r="Q35" t="s">
        <v>134</v>
      </c>
      <c r="R35" t="s">
        <v>334</v>
      </c>
      <c r="S35" t="s">
        <v>38</v>
      </c>
    </row>
    <row r="36" spans="1:20" x14ac:dyDescent="0.2">
      <c r="A36">
        <v>319810053</v>
      </c>
      <c r="B36">
        <v>13</v>
      </c>
      <c r="C36" t="s">
        <v>12</v>
      </c>
      <c r="D36" t="s">
        <v>133</v>
      </c>
      <c r="E36" t="s">
        <v>4</v>
      </c>
      <c r="F36" t="s">
        <v>3</v>
      </c>
      <c r="G36" t="s">
        <v>334</v>
      </c>
      <c r="H36" t="s">
        <v>334</v>
      </c>
      <c r="I36" t="s">
        <v>334</v>
      </c>
      <c r="J36" t="s">
        <v>334</v>
      </c>
      <c r="K36" t="s">
        <v>334</v>
      </c>
      <c r="L36" t="s">
        <v>334</v>
      </c>
      <c r="M36" t="s">
        <v>334</v>
      </c>
      <c r="N36" t="s">
        <v>334</v>
      </c>
      <c r="O36" t="s">
        <v>132</v>
      </c>
      <c r="P36" t="s">
        <v>334</v>
      </c>
      <c r="Q36" t="s">
        <v>131</v>
      </c>
      <c r="R36" t="s">
        <v>334</v>
      </c>
      <c r="S36" t="s">
        <v>38</v>
      </c>
    </row>
    <row r="37" spans="1:20" x14ac:dyDescent="0.2">
      <c r="A37">
        <v>358110249</v>
      </c>
      <c r="B37">
        <v>40</v>
      </c>
      <c r="C37" t="s">
        <v>12</v>
      </c>
      <c r="D37" t="s">
        <v>130</v>
      </c>
      <c r="E37" t="s">
        <v>4</v>
      </c>
      <c r="F37" t="s">
        <v>3</v>
      </c>
      <c r="G37" t="s">
        <v>334</v>
      </c>
      <c r="H37" t="s">
        <v>334</v>
      </c>
      <c r="I37" t="s">
        <v>129</v>
      </c>
      <c r="J37" t="s">
        <v>334</v>
      </c>
      <c r="K37" t="s">
        <v>334</v>
      </c>
      <c r="L37" t="s">
        <v>334</v>
      </c>
      <c r="M37" t="s">
        <v>334</v>
      </c>
      <c r="N37" t="s">
        <v>334</v>
      </c>
      <c r="O37" t="s">
        <v>128</v>
      </c>
      <c r="P37" t="s">
        <v>127</v>
      </c>
      <c r="Q37" t="s">
        <v>126</v>
      </c>
      <c r="R37" t="s">
        <v>334</v>
      </c>
      <c r="S37" t="s">
        <v>38</v>
      </c>
    </row>
    <row r="38" spans="1:20" x14ac:dyDescent="0.2">
      <c r="A38">
        <v>401410971</v>
      </c>
      <c r="B38">
        <v>19</v>
      </c>
      <c r="C38" t="s">
        <v>6</v>
      </c>
      <c r="D38" t="s">
        <v>125</v>
      </c>
      <c r="E38" t="s">
        <v>4</v>
      </c>
      <c r="F38" t="s">
        <v>3</v>
      </c>
      <c r="G38" t="s">
        <v>334</v>
      </c>
      <c r="H38" t="s">
        <v>334</v>
      </c>
      <c r="I38" t="s">
        <v>334</v>
      </c>
      <c r="J38" t="s">
        <v>334</v>
      </c>
      <c r="K38" t="s">
        <v>334</v>
      </c>
      <c r="L38" t="s">
        <v>334</v>
      </c>
      <c r="M38" t="s">
        <v>334</v>
      </c>
      <c r="N38" t="s">
        <v>334</v>
      </c>
      <c r="O38" t="s">
        <v>334</v>
      </c>
      <c r="P38" t="s">
        <v>334</v>
      </c>
      <c r="Q38" t="s">
        <v>124</v>
      </c>
      <c r="R38" t="s">
        <v>334</v>
      </c>
      <c r="S38" t="s">
        <v>333</v>
      </c>
    </row>
    <row r="39" spans="1:20" x14ac:dyDescent="0.2">
      <c r="A39">
        <v>461910966</v>
      </c>
      <c r="B39">
        <v>31</v>
      </c>
      <c r="C39" t="s">
        <v>12</v>
      </c>
      <c r="D39" t="s">
        <v>123</v>
      </c>
      <c r="E39" t="s">
        <v>4</v>
      </c>
      <c r="F39" t="s">
        <v>3</v>
      </c>
      <c r="G39" t="s">
        <v>334</v>
      </c>
      <c r="H39" t="s">
        <v>334</v>
      </c>
      <c r="I39" t="s">
        <v>122</v>
      </c>
      <c r="J39" t="s">
        <v>334</v>
      </c>
      <c r="K39" t="s">
        <v>334</v>
      </c>
      <c r="L39" t="s">
        <v>334</v>
      </c>
      <c r="M39" t="s">
        <v>334</v>
      </c>
      <c r="N39" t="s">
        <v>334</v>
      </c>
      <c r="O39" t="s">
        <v>334</v>
      </c>
      <c r="P39" t="s">
        <v>334</v>
      </c>
      <c r="Q39" t="s">
        <v>121</v>
      </c>
      <c r="R39" t="s">
        <v>334</v>
      </c>
      <c r="S39" t="s">
        <v>333</v>
      </c>
    </row>
    <row r="40" spans="1:20" x14ac:dyDescent="0.2">
      <c r="A40">
        <v>476910620</v>
      </c>
      <c r="B40">
        <v>72</v>
      </c>
      <c r="C40" t="s">
        <v>6</v>
      </c>
      <c r="D40" t="s">
        <v>120</v>
      </c>
      <c r="E40" t="s">
        <v>4</v>
      </c>
      <c r="F40" t="s">
        <v>3</v>
      </c>
      <c r="G40" t="s">
        <v>334</v>
      </c>
      <c r="H40" t="s">
        <v>334</v>
      </c>
      <c r="I40" t="s">
        <v>334</v>
      </c>
      <c r="J40" t="s">
        <v>119</v>
      </c>
      <c r="K40" t="s">
        <v>334</v>
      </c>
      <c r="L40" t="s">
        <v>334</v>
      </c>
      <c r="M40" t="s">
        <v>334</v>
      </c>
      <c r="N40" t="s">
        <v>334</v>
      </c>
      <c r="O40" t="s">
        <v>118</v>
      </c>
      <c r="P40" t="s">
        <v>334</v>
      </c>
      <c r="Q40" t="s">
        <v>117</v>
      </c>
      <c r="R40" t="s">
        <v>334</v>
      </c>
      <c r="S40" t="s">
        <v>38</v>
      </c>
      <c r="T40" t="s">
        <v>339</v>
      </c>
    </row>
    <row r="41" spans="1:20" x14ac:dyDescent="0.2">
      <c r="A41">
        <v>553410900</v>
      </c>
      <c r="B41">
        <v>19</v>
      </c>
      <c r="C41" t="s">
        <v>12</v>
      </c>
      <c r="D41" t="s">
        <v>116</v>
      </c>
      <c r="E41" t="s">
        <v>4</v>
      </c>
      <c r="F41" t="s">
        <v>3</v>
      </c>
      <c r="G41" t="s">
        <v>334</v>
      </c>
      <c r="H41" t="s">
        <v>334</v>
      </c>
      <c r="I41" t="s">
        <v>334</v>
      </c>
      <c r="J41" t="s">
        <v>334</v>
      </c>
      <c r="K41" t="s">
        <v>334</v>
      </c>
      <c r="L41" t="s">
        <v>334</v>
      </c>
      <c r="M41" t="s">
        <v>334</v>
      </c>
      <c r="N41" t="s">
        <v>334</v>
      </c>
      <c r="O41" t="s">
        <v>334</v>
      </c>
      <c r="P41" t="s">
        <v>334</v>
      </c>
      <c r="Q41" t="s">
        <v>115</v>
      </c>
      <c r="R41" t="s">
        <v>334</v>
      </c>
      <c r="S41" t="s">
        <v>333</v>
      </c>
    </row>
    <row r="42" spans="1:20" x14ac:dyDescent="0.2">
      <c r="A42">
        <v>679310873</v>
      </c>
      <c r="B42">
        <v>13</v>
      </c>
      <c r="C42" t="s">
        <v>12</v>
      </c>
      <c r="D42" t="s">
        <v>114</v>
      </c>
      <c r="E42" t="s">
        <v>4</v>
      </c>
      <c r="F42" t="s">
        <v>3</v>
      </c>
      <c r="G42" t="s">
        <v>334</v>
      </c>
      <c r="H42" t="s">
        <v>334</v>
      </c>
      <c r="I42" t="s">
        <v>334</v>
      </c>
      <c r="J42" t="s">
        <v>334</v>
      </c>
      <c r="K42" t="s">
        <v>334</v>
      </c>
      <c r="L42" t="s">
        <v>334</v>
      </c>
      <c r="M42" t="s">
        <v>334</v>
      </c>
      <c r="N42" t="s">
        <v>334</v>
      </c>
      <c r="O42" t="s">
        <v>113</v>
      </c>
      <c r="P42" t="s">
        <v>334</v>
      </c>
      <c r="Q42" t="s">
        <v>112</v>
      </c>
      <c r="R42" t="s">
        <v>334</v>
      </c>
      <c r="S42" t="s">
        <v>38</v>
      </c>
    </row>
    <row r="43" spans="1:20" x14ac:dyDescent="0.2">
      <c r="A43">
        <v>726310128</v>
      </c>
      <c r="B43">
        <v>17</v>
      </c>
      <c r="C43" t="s">
        <v>6</v>
      </c>
      <c r="D43" t="s">
        <v>111</v>
      </c>
      <c r="E43" t="s">
        <v>4</v>
      </c>
      <c r="F43" t="s">
        <v>3</v>
      </c>
      <c r="G43" t="s">
        <v>334</v>
      </c>
      <c r="H43" t="s">
        <v>334</v>
      </c>
      <c r="I43" t="s">
        <v>334</v>
      </c>
      <c r="J43" t="s">
        <v>334</v>
      </c>
      <c r="K43" t="s">
        <v>334</v>
      </c>
      <c r="L43" t="s">
        <v>334</v>
      </c>
      <c r="M43" t="s">
        <v>334</v>
      </c>
      <c r="N43" t="s">
        <v>334</v>
      </c>
      <c r="O43" t="s">
        <v>110</v>
      </c>
      <c r="P43" t="s">
        <v>334</v>
      </c>
      <c r="Q43" t="s">
        <v>109</v>
      </c>
      <c r="R43" t="s">
        <v>334</v>
      </c>
      <c r="S43" t="s">
        <v>333</v>
      </c>
    </row>
    <row r="44" spans="1:20" x14ac:dyDescent="0.2">
      <c r="A44">
        <v>740710960</v>
      </c>
      <c r="B44">
        <v>12</v>
      </c>
      <c r="C44" t="s">
        <v>6</v>
      </c>
      <c r="D44" t="s">
        <v>108</v>
      </c>
      <c r="E44" t="s">
        <v>4</v>
      </c>
      <c r="F44" t="s">
        <v>3</v>
      </c>
      <c r="G44" t="s">
        <v>334</v>
      </c>
      <c r="H44" t="s">
        <v>334</v>
      </c>
      <c r="I44" t="s">
        <v>334</v>
      </c>
      <c r="J44" t="s">
        <v>334</v>
      </c>
      <c r="K44" t="s">
        <v>334</v>
      </c>
      <c r="L44" t="s">
        <v>334</v>
      </c>
      <c r="M44" t="s">
        <v>334</v>
      </c>
      <c r="N44" t="s">
        <v>334</v>
      </c>
      <c r="O44" t="s">
        <v>107</v>
      </c>
      <c r="P44" t="s">
        <v>334</v>
      </c>
      <c r="Q44" t="s">
        <v>106</v>
      </c>
      <c r="R44" t="s">
        <v>334</v>
      </c>
      <c r="S44" t="s">
        <v>38</v>
      </c>
    </row>
    <row r="45" spans="1:20" x14ac:dyDescent="0.2">
      <c r="A45">
        <v>758210667</v>
      </c>
      <c r="B45">
        <v>7</v>
      </c>
      <c r="C45" t="s">
        <v>12</v>
      </c>
      <c r="D45" t="s">
        <v>105</v>
      </c>
      <c r="E45" t="s">
        <v>4</v>
      </c>
      <c r="F45" t="s">
        <v>3</v>
      </c>
      <c r="G45" t="s">
        <v>334</v>
      </c>
      <c r="H45" t="s">
        <v>334</v>
      </c>
      <c r="I45" t="s">
        <v>334</v>
      </c>
      <c r="J45" t="s">
        <v>334</v>
      </c>
      <c r="K45" t="s">
        <v>334</v>
      </c>
      <c r="L45" t="s">
        <v>334</v>
      </c>
      <c r="M45" t="s">
        <v>334</v>
      </c>
      <c r="N45" t="s">
        <v>334</v>
      </c>
      <c r="O45" t="s">
        <v>334</v>
      </c>
      <c r="P45" t="s">
        <v>334</v>
      </c>
      <c r="Q45" t="s">
        <v>104</v>
      </c>
      <c r="R45" t="s">
        <v>334</v>
      </c>
      <c r="S45" t="s">
        <v>333</v>
      </c>
    </row>
    <row r="46" spans="1:20" x14ac:dyDescent="0.2">
      <c r="A46">
        <v>772810288</v>
      </c>
      <c r="B46">
        <v>15</v>
      </c>
      <c r="C46" t="s">
        <v>12</v>
      </c>
      <c r="D46" t="s">
        <v>103</v>
      </c>
      <c r="E46" t="s">
        <v>4</v>
      </c>
      <c r="F46" t="s">
        <v>3</v>
      </c>
      <c r="G46" t="s">
        <v>334</v>
      </c>
      <c r="H46" t="s">
        <v>334</v>
      </c>
      <c r="I46" t="s">
        <v>334</v>
      </c>
      <c r="J46" t="s">
        <v>334</v>
      </c>
      <c r="K46" t="s">
        <v>334</v>
      </c>
      <c r="L46" t="s">
        <v>334</v>
      </c>
      <c r="M46" t="s">
        <v>334</v>
      </c>
      <c r="N46" t="s">
        <v>334</v>
      </c>
      <c r="O46" t="s">
        <v>334</v>
      </c>
      <c r="P46" t="s">
        <v>334</v>
      </c>
      <c r="Q46" t="s">
        <v>102</v>
      </c>
      <c r="R46" t="s">
        <v>334</v>
      </c>
      <c r="S46" t="s">
        <v>333</v>
      </c>
    </row>
    <row r="47" spans="1:20" x14ac:dyDescent="0.2">
      <c r="A47">
        <v>795410971</v>
      </c>
      <c r="B47">
        <v>2</v>
      </c>
      <c r="C47" t="s">
        <v>6</v>
      </c>
      <c r="D47" t="s">
        <v>101</v>
      </c>
      <c r="E47" t="s">
        <v>4</v>
      </c>
      <c r="F47" t="s">
        <v>3</v>
      </c>
      <c r="G47" t="s">
        <v>334</v>
      </c>
      <c r="H47" t="s">
        <v>334</v>
      </c>
      <c r="I47" t="s">
        <v>334</v>
      </c>
      <c r="J47" t="s">
        <v>334</v>
      </c>
      <c r="K47" t="s">
        <v>334</v>
      </c>
      <c r="L47" t="s">
        <v>334</v>
      </c>
      <c r="M47" t="s">
        <v>334</v>
      </c>
      <c r="N47" t="s">
        <v>334</v>
      </c>
      <c r="O47" t="s">
        <v>334</v>
      </c>
      <c r="P47" t="s">
        <v>334</v>
      </c>
      <c r="Q47" t="s">
        <v>334</v>
      </c>
      <c r="R47" t="s">
        <v>334</v>
      </c>
      <c r="S47" t="s">
        <v>337</v>
      </c>
      <c r="T47" t="s">
        <v>338</v>
      </c>
    </row>
    <row r="48" spans="1:20" x14ac:dyDescent="0.2">
      <c r="A48">
        <v>826210737</v>
      </c>
      <c r="B48">
        <v>3</v>
      </c>
      <c r="C48" t="s">
        <v>6</v>
      </c>
      <c r="D48" t="s">
        <v>100</v>
      </c>
      <c r="E48" t="s">
        <v>4</v>
      </c>
      <c r="F48" t="s">
        <v>3</v>
      </c>
      <c r="G48" t="s">
        <v>334</v>
      </c>
      <c r="H48" t="s">
        <v>334</v>
      </c>
      <c r="I48" t="s">
        <v>334</v>
      </c>
      <c r="J48" t="s">
        <v>334</v>
      </c>
      <c r="K48" t="s">
        <v>334</v>
      </c>
      <c r="L48" t="s">
        <v>334</v>
      </c>
      <c r="M48" t="s">
        <v>334</v>
      </c>
      <c r="N48" t="s">
        <v>334</v>
      </c>
      <c r="O48" t="s">
        <v>334</v>
      </c>
      <c r="P48" t="s">
        <v>334</v>
      </c>
      <c r="Q48" t="s">
        <v>99</v>
      </c>
      <c r="R48" t="s">
        <v>334</v>
      </c>
      <c r="S48" t="s">
        <v>333</v>
      </c>
    </row>
    <row r="49" spans="1:20" x14ac:dyDescent="0.2">
      <c r="A49">
        <v>831210567</v>
      </c>
      <c r="B49">
        <v>40</v>
      </c>
      <c r="C49" t="s">
        <v>12</v>
      </c>
      <c r="D49" t="s">
        <v>98</v>
      </c>
      <c r="E49" t="s">
        <v>4</v>
      </c>
      <c r="F49" t="s">
        <v>3</v>
      </c>
      <c r="G49" t="s">
        <v>334</v>
      </c>
      <c r="H49" t="s">
        <v>334</v>
      </c>
      <c r="I49" t="s">
        <v>334</v>
      </c>
      <c r="J49" t="s">
        <v>334</v>
      </c>
      <c r="K49" t="s">
        <v>334</v>
      </c>
      <c r="L49" t="s">
        <v>334</v>
      </c>
      <c r="M49" t="s">
        <v>334</v>
      </c>
      <c r="N49" t="s">
        <v>334</v>
      </c>
      <c r="O49" t="s">
        <v>97</v>
      </c>
      <c r="P49" t="s">
        <v>334</v>
      </c>
      <c r="Q49" t="s">
        <v>96</v>
      </c>
      <c r="R49" t="s">
        <v>334</v>
      </c>
      <c r="S49" t="s">
        <v>38</v>
      </c>
    </row>
    <row r="50" spans="1:20" x14ac:dyDescent="0.2">
      <c r="A50">
        <v>878310732</v>
      </c>
      <c r="B50">
        <v>31</v>
      </c>
      <c r="C50" t="s">
        <v>6</v>
      </c>
      <c r="D50" t="s">
        <v>95</v>
      </c>
      <c r="E50" t="s">
        <v>4</v>
      </c>
      <c r="F50" t="s">
        <v>3</v>
      </c>
      <c r="G50" t="s">
        <v>334</v>
      </c>
      <c r="H50" t="s">
        <v>334</v>
      </c>
      <c r="I50" t="s">
        <v>334</v>
      </c>
      <c r="J50" t="s">
        <v>334</v>
      </c>
      <c r="K50" t="s">
        <v>334</v>
      </c>
      <c r="L50" t="s">
        <v>334</v>
      </c>
      <c r="M50" t="s">
        <v>334</v>
      </c>
      <c r="N50" t="s">
        <v>334</v>
      </c>
      <c r="O50" t="s">
        <v>334</v>
      </c>
      <c r="P50" t="s">
        <v>334</v>
      </c>
      <c r="Q50" t="s">
        <v>334</v>
      </c>
      <c r="R50" t="s">
        <v>334</v>
      </c>
      <c r="S50" t="s">
        <v>337</v>
      </c>
      <c r="T50" t="s">
        <v>338</v>
      </c>
    </row>
    <row r="51" spans="1:20" x14ac:dyDescent="0.2">
      <c r="A51">
        <v>880910162</v>
      </c>
      <c r="B51">
        <v>28</v>
      </c>
      <c r="C51" t="s">
        <v>12</v>
      </c>
      <c r="D51" t="s">
        <v>93</v>
      </c>
      <c r="E51" t="s">
        <v>4</v>
      </c>
      <c r="F51" t="s">
        <v>3</v>
      </c>
      <c r="G51" t="s">
        <v>334</v>
      </c>
      <c r="H51" t="s">
        <v>334</v>
      </c>
      <c r="I51" t="s">
        <v>334</v>
      </c>
      <c r="J51" t="s">
        <v>334</v>
      </c>
      <c r="K51" t="s">
        <v>334</v>
      </c>
      <c r="L51" t="s">
        <v>334</v>
      </c>
      <c r="M51" t="s">
        <v>334</v>
      </c>
      <c r="N51" t="s">
        <v>334</v>
      </c>
      <c r="O51" t="s">
        <v>334</v>
      </c>
      <c r="P51" t="s">
        <v>334</v>
      </c>
      <c r="Q51" t="s">
        <v>92</v>
      </c>
      <c r="R51" t="s">
        <v>334</v>
      </c>
      <c r="S51" t="s">
        <v>333</v>
      </c>
    </row>
    <row r="52" spans="1:20" x14ac:dyDescent="0.2">
      <c r="A52">
        <v>888710791</v>
      </c>
      <c r="B52">
        <v>12</v>
      </c>
      <c r="C52" t="s">
        <v>6</v>
      </c>
      <c r="D52" t="s">
        <v>91</v>
      </c>
      <c r="E52" t="s">
        <v>4</v>
      </c>
      <c r="F52" t="s">
        <v>3</v>
      </c>
      <c r="G52" t="s">
        <v>334</v>
      </c>
      <c r="H52" t="s">
        <v>334</v>
      </c>
      <c r="I52" t="s">
        <v>334</v>
      </c>
      <c r="J52" t="s">
        <v>334</v>
      </c>
      <c r="K52" t="s">
        <v>334</v>
      </c>
      <c r="L52" t="s">
        <v>334</v>
      </c>
      <c r="M52" t="s">
        <v>334</v>
      </c>
      <c r="N52" t="s">
        <v>334</v>
      </c>
      <c r="O52" t="s">
        <v>334</v>
      </c>
      <c r="P52" t="s">
        <v>334</v>
      </c>
      <c r="Q52" t="s">
        <v>90</v>
      </c>
      <c r="R52" t="s">
        <v>334</v>
      </c>
      <c r="S52" t="s">
        <v>333</v>
      </c>
    </row>
    <row r="53" spans="1:20" x14ac:dyDescent="0.2">
      <c r="A53">
        <v>932610840</v>
      </c>
      <c r="B53">
        <v>13</v>
      </c>
      <c r="C53" t="s">
        <v>6</v>
      </c>
      <c r="D53" t="s">
        <v>89</v>
      </c>
      <c r="E53" t="s">
        <v>4</v>
      </c>
      <c r="F53" t="s">
        <v>3</v>
      </c>
      <c r="G53" t="s">
        <v>88</v>
      </c>
      <c r="H53" t="s">
        <v>334</v>
      </c>
      <c r="I53" t="s">
        <v>87</v>
      </c>
      <c r="J53" t="s">
        <v>334</v>
      </c>
      <c r="K53" t="s">
        <v>334</v>
      </c>
      <c r="L53" t="s">
        <v>334</v>
      </c>
      <c r="M53" t="s">
        <v>334</v>
      </c>
      <c r="N53" t="s">
        <v>334</v>
      </c>
      <c r="O53" t="s">
        <v>334</v>
      </c>
      <c r="P53" t="s">
        <v>334</v>
      </c>
      <c r="Q53" t="s">
        <v>86</v>
      </c>
      <c r="R53" t="s">
        <v>334</v>
      </c>
      <c r="S53" t="s">
        <v>337</v>
      </c>
      <c r="T53" t="s">
        <v>336</v>
      </c>
    </row>
    <row r="54" spans="1:20" x14ac:dyDescent="0.2">
      <c r="A54">
        <v>954410764</v>
      </c>
      <c r="B54">
        <v>19</v>
      </c>
      <c r="C54" t="s">
        <v>6</v>
      </c>
      <c r="D54" t="s">
        <v>85</v>
      </c>
      <c r="E54" t="s">
        <v>4</v>
      </c>
      <c r="F54" t="s">
        <v>3</v>
      </c>
      <c r="G54" t="s">
        <v>334</v>
      </c>
      <c r="H54" t="s">
        <v>334</v>
      </c>
      <c r="I54" t="s">
        <v>334</v>
      </c>
      <c r="J54" t="s">
        <v>334</v>
      </c>
      <c r="K54" t="s">
        <v>334</v>
      </c>
      <c r="L54" t="s">
        <v>334</v>
      </c>
      <c r="M54" t="s">
        <v>334</v>
      </c>
      <c r="N54" t="s">
        <v>334</v>
      </c>
      <c r="O54" t="s">
        <v>334</v>
      </c>
      <c r="P54" t="s">
        <v>334</v>
      </c>
      <c r="Q54" t="s">
        <v>84</v>
      </c>
      <c r="R54" t="s">
        <v>334</v>
      </c>
      <c r="S54" t="s">
        <v>333</v>
      </c>
    </row>
    <row r="55" spans="1:20" x14ac:dyDescent="0.2">
      <c r="A55">
        <v>959010761</v>
      </c>
      <c r="B55">
        <v>9</v>
      </c>
      <c r="C55" t="s">
        <v>6</v>
      </c>
      <c r="D55" t="s">
        <v>83</v>
      </c>
      <c r="E55" t="s">
        <v>4</v>
      </c>
      <c r="F55" t="s">
        <v>3</v>
      </c>
      <c r="G55" t="s">
        <v>334</v>
      </c>
      <c r="H55" t="s">
        <v>334</v>
      </c>
      <c r="I55" t="s">
        <v>334</v>
      </c>
      <c r="J55" t="s">
        <v>334</v>
      </c>
      <c r="K55" t="s">
        <v>334</v>
      </c>
      <c r="L55" t="s">
        <v>334</v>
      </c>
      <c r="M55" t="s">
        <v>334</v>
      </c>
      <c r="N55" t="s">
        <v>334</v>
      </c>
      <c r="O55" t="s">
        <v>82</v>
      </c>
      <c r="P55" t="s">
        <v>334</v>
      </c>
      <c r="Q55" t="s">
        <v>81</v>
      </c>
      <c r="R55" t="s">
        <v>334</v>
      </c>
      <c r="S55" t="s">
        <v>38</v>
      </c>
    </row>
    <row r="56" spans="1:20" x14ac:dyDescent="0.2">
      <c r="A56">
        <v>1026210195</v>
      </c>
      <c r="B56">
        <v>37</v>
      </c>
      <c r="C56" t="s">
        <v>12</v>
      </c>
      <c r="D56" t="s">
        <v>80</v>
      </c>
      <c r="E56" t="s">
        <v>4</v>
      </c>
      <c r="F56" t="s">
        <v>3</v>
      </c>
      <c r="G56" t="s">
        <v>334</v>
      </c>
      <c r="H56" t="s">
        <v>334</v>
      </c>
      <c r="I56" t="s">
        <v>334</v>
      </c>
      <c r="J56" t="s">
        <v>334</v>
      </c>
      <c r="K56" t="s">
        <v>334</v>
      </c>
      <c r="L56" t="s">
        <v>334</v>
      </c>
      <c r="M56" t="s">
        <v>334</v>
      </c>
      <c r="N56" t="s">
        <v>334</v>
      </c>
      <c r="O56" t="s">
        <v>79</v>
      </c>
      <c r="P56" t="s">
        <v>334</v>
      </c>
      <c r="Q56" t="s">
        <v>78</v>
      </c>
      <c r="R56" t="s">
        <v>334</v>
      </c>
      <c r="S56" t="s">
        <v>38</v>
      </c>
    </row>
    <row r="57" spans="1:20" x14ac:dyDescent="0.2">
      <c r="A57">
        <v>1084310679</v>
      </c>
      <c r="B57">
        <v>14</v>
      </c>
      <c r="C57" t="s">
        <v>12</v>
      </c>
      <c r="D57" t="s">
        <v>77</v>
      </c>
      <c r="E57" t="s">
        <v>4</v>
      </c>
      <c r="F57" t="s">
        <v>3</v>
      </c>
      <c r="G57" t="s">
        <v>334</v>
      </c>
      <c r="H57" t="s">
        <v>334</v>
      </c>
      <c r="I57" t="s">
        <v>334</v>
      </c>
      <c r="J57" t="s">
        <v>334</v>
      </c>
      <c r="K57" t="s">
        <v>334</v>
      </c>
      <c r="L57" t="s">
        <v>334</v>
      </c>
      <c r="M57" t="s">
        <v>334</v>
      </c>
      <c r="N57" t="s">
        <v>334</v>
      </c>
      <c r="O57" t="s">
        <v>334</v>
      </c>
      <c r="P57" t="s">
        <v>334</v>
      </c>
      <c r="Q57" t="s">
        <v>76</v>
      </c>
      <c r="R57" t="s">
        <v>334</v>
      </c>
      <c r="S57" t="s">
        <v>333</v>
      </c>
    </row>
    <row r="58" spans="1:20" x14ac:dyDescent="0.2">
      <c r="A58">
        <v>1086910999</v>
      </c>
      <c r="B58">
        <v>27</v>
      </c>
      <c r="C58" t="s">
        <v>12</v>
      </c>
      <c r="D58" t="s">
        <v>75</v>
      </c>
      <c r="E58" t="s">
        <v>4</v>
      </c>
      <c r="F58" t="s">
        <v>3</v>
      </c>
      <c r="G58" t="s">
        <v>334</v>
      </c>
      <c r="H58" t="s">
        <v>334</v>
      </c>
      <c r="I58" t="s">
        <v>334</v>
      </c>
      <c r="J58" t="s">
        <v>334</v>
      </c>
      <c r="K58" t="s">
        <v>334</v>
      </c>
      <c r="L58" t="s">
        <v>334</v>
      </c>
      <c r="M58" t="s">
        <v>334</v>
      </c>
      <c r="N58" t="s">
        <v>334</v>
      </c>
      <c r="O58" t="s">
        <v>334</v>
      </c>
      <c r="P58" t="s">
        <v>334</v>
      </c>
      <c r="Q58" t="s">
        <v>74</v>
      </c>
      <c r="R58" t="s">
        <v>334</v>
      </c>
      <c r="S58" t="s">
        <v>333</v>
      </c>
    </row>
    <row r="59" spans="1:20" x14ac:dyDescent="0.2">
      <c r="A59">
        <v>1112310707</v>
      </c>
      <c r="B59">
        <v>17</v>
      </c>
      <c r="C59" t="s">
        <v>12</v>
      </c>
      <c r="D59" t="s">
        <v>73</v>
      </c>
      <c r="E59" t="s">
        <v>4</v>
      </c>
      <c r="F59" t="s">
        <v>3</v>
      </c>
      <c r="G59" t="s">
        <v>334</v>
      </c>
      <c r="H59" t="s">
        <v>334</v>
      </c>
      <c r="I59" t="s">
        <v>334</v>
      </c>
      <c r="J59" t="s">
        <v>334</v>
      </c>
      <c r="K59" t="s">
        <v>334</v>
      </c>
      <c r="L59" t="s">
        <v>334</v>
      </c>
      <c r="M59" t="s">
        <v>334</v>
      </c>
      <c r="N59" t="s">
        <v>334</v>
      </c>
      <c r="O59" t="s">
        <v>72</v>
      </c>
      <c r="P59" t="s">
        <v>334</v>
      </c>
      <c r="Q59" t="s">
        <v>71</v>
      </c>
      <c r="R59" t="s">
        <v>334</v>
      </c>
      <c r="S59" t="s">
        <v>333</v>
      </c>
    </row>
    <row r="60" spans="1:20" x14ac:dyDescent="0.2">
      <c r="A60">
        <v>1146710626</v>
      </c>
      <c r="B60">
        <v>9</v>
      </c>
      <c r="C60" t="s">
        <v>12</v>
      </c>
      <c r="D60" t="s">
        <v>70</v>
      </c>
      <c r="E60" t="s">
        <v>4</v>
      </c>
      <c r="F60" t="s">
        <v>3</v>
      </c>
      <c r="G60" t="s">
        <v>334</v>
      </c>
      <c r="H60" t="s">
        <v>334</v>
      </c>
      <c r="I60" t="s">
        <v>334</v>
      </c>
      <c r="J60" t="s">
        <v>334</v>
      </c>
      <c r="K60" t="s">
        <v>334</v>
      </c>
      <c r="L60" t="s">
        <v>334</v>
      </c>
      <c r="M60" t="s">
        <v>334</v>
      </c>
      <c r="N60" t="s">
        <v>334</v>
      </c>
      <c r="O60" t="s">
        <v>334</v>
      </c>
      <c r="P60" t="s">
        <v>334</v>
      </c>
      <c r="Q60" t="s">
        <v>69</v>
      </c>
      <c r="R60" t="s">
        <v>334</v>
      </c>
      <c r="S60" t="s">
        <v>333</v>
      </c>
    </row>
    <row r="61" spans="1:20" x14ac:dyDescent="0.2">
      <c r="A61">
        <v>1244410740</v>
      </c>
      <c r="B61">
        <v>12</v>
      </c>
      <c r="C61" t="s">
        <v>6</v>
      </c>
      <c r="D61" t="s">
        <v>68</v>
      </c>
      <c r="E61" t="s">
        <v>4</v>
      </c>
      <c r="F61" t="s">
        <v>3</v>
      </c>
      <c r="G61" t="s">
        <v>334</v>
      </c>
      <c r="H61" t="s">
        <v>334</v>
      </c>
      <c r="I61" t="s">
        <v>334</v>
      </c>
      <c r="J61" t="s">
        <v>334</v>
      </c>
      <c r="K61" t="s">
        <v>334</v>
      </c>
      <c r="L61" t="s">
        <v>334</v>
      </c>
      <c r="M61" t="s">
        <v>334</v>
      </c>
      <c r="N61" t="s">
        <v>334</v>
      </c>
      <c r="O61" t="s">
        <v>334</v>
      </c>
      <c r="P61" t="s">
        <v>334</v>
      </c>
      <c r="Q61" t="s">
        <v>67</v>
      </c>
      <c r="R61" t="s">
        <v>334</v>
      </c>
      <c r="S61" t="s">
        <v>333</v>
      </c>
    </row>
    <row r="62" spans="1:20" x14ac:dyDescent="0.2">
      <c r="A62">
        <v>1292410740</v>
      </c>
      <c r="B62">
        <v>29</v>
      </c>
      <c r="C62" t="s">
        <v>12</v>
      </c>
      <c r="D62" t="s">
        <v>66</v>
      </c>
      <c r="E62" t="s">
        <v>4</v>
      </c>
      <c r="F62" t="s">
        <v>3</v>
      </c>
      <c r="G62" t="s">
        <v>334</v>
      </c>
      <c r="H62" t="s">
        <v>334</v>
      </c>
      <c r="I62" t="s">
        <v>334</v>
      </c>
      <c r="J62" t="s">
        <v>334</v>
      </c>
      <c r="K62" t="s">
        <v>334</v>
      </c>
      <c r="L62" t="s">
        <v>334</v>
      </c>
      <c r="M62" t="s">
        <v>334</v>
      </c>
      <c r="N62" t="s">
        <v>334</v>
      </c>
      <c r="O62" t="s">
        <v>65</v>
      </c>
      <c r="P62" t="s">
        <v>334</v>
      </c>
      <c r="Q62" t="s">
        <v>64</v>
      </c>
      <c r="R62" t="s">
        <v>334</v>
      </c>
      <c r="S62" t="s">
        <v>38</v>
      </c>
    </row>
    <row r="63" spans="1:20" x14ac:dyDescent="0.2">
      <c r="A63">
        <v>1344710011</v>
      </c>
      <c r="B63">
        <v>4</v>
      </c>
      <c r="C63" t="s">
        <v>6</v>
      </c>
      <c r="D63" t="s">
        <v>63</v>
      </c>
      <c r="E63" t="s">
        <v>4</v>
      </c>
      <c r="F63" t="s">
        <v>3</v>
      </c>
      <c r="G63" t="s">
        <v>334</v>
      </c>
      <c r="H63" t="s">
        <v>334</v>
      </c>
      <c r="I63" t="s">
        <v>334</v>
      </c>
      <c r="J63" t="s">
        <v>334</v>
      </c>
      <c r="K63" t="s">
        <v>334</v>
      </c>
      <c r="L63" t="s">
        <v>334</v>
      </c>
      <c r="M63" t="s">
        <v>334</v>
      </c>
      <c r="N63" t="s">
        <v>334</v>
      </c>
      <c r="O63" t="s">
        <v>62</v>
      </c>
      <c r="P63" t="s">
        <v>334</v>
      </c>
      <c r="Q63" t="s">
        <v>61</v>
      </c>
      <c r="R63" t="s">
        <v>334</v>
      </c>
      <c r="S63" t="s">
        <v>38</v>
      </c>
    </row>
    <row r="64" spans="1:20" x14ac:dyDescent="0.2">
      <c r="A64">
        <v>1419010939</v>
      </c>
      <c r="B64">
        <v>16</v>
      </c>
      <c r="C64" t="s">
        <v>6</v>
      </c>
      <c r="D64" t="s">
        <v>60</v>
      </c>
      <c r="E64" t="s">
        <v>4</v>
      </c>
      <c r="F64" t="s">
        <v>3</v>
      </c>
      <c r="G64" t="s">
        <v>334</v>
      </c>
      <c r="H64" t="s">
        <v>59</v>
      </c>
      <c r="I64" t="s">
        <v>334</v>
      </c>
      <c r="J64" t="s">
        <v>334</v>
      </c>
      <c r="K64" t="s">
        <v>334</v>
      </c>
      <c r="L64" t="s">
        <v>334</v>
      </c>
      <c r="M64" t="s">
        <v>334</v>
      </c>
      <c r="N64" t="s">
        <v>334</v>
      </c>
      <c r="O64" t="s">
        <v>334</v>
      </c>
      <c r="P64" t="s">
        <v>334</v>
      </c>
      <c r="Q64" t="s">
        <v>58</v>
      </c>
      <c r="R64" t="s">
        <v>334</v>
      </c>
      <c r="S64" t="s">
        <v>38</v>
      </c>
      <c r="T64" t="s">
        <v>335</v>
      </c>
    </row>
    <row r="65" spans="1:20" x14ac:dyDescent="0.2">
      <c r="A65">
        <v>1591110113</v>
      </c>
      <c r="B65">
        <v>3</v>
      </c>
      <c r="C65" t="s">
        <v>6</v>
      </c>
      <c r="D65" t="s">
        <v>57</v>
      </c>
      <c r="E65" t="s">
        <v>4</v>
      </c>
      <c r="F65" t="s">
        <v>3</v>
      </c>
      <c r="G65" t="s">
        <v>334</v>
      </c>
      <c r="H65" t="s">
        <v>334</v>
      </c>
      <c r="I65" t="s">
        <v>334</v>
      </c>
      <c r="J65" t="s">
        <v>334</v>
      </c>
      <c r="K65" t="s">
        <v>334</v>
      </c>
      <c r="L65" t="s">
        <v>334</v>
      </c>
      <c r="M65" t="s">
        <v>334</v>
      </c>
      <c r="N65" t="s">
        <v>334</v>
      </c>
      <c r="O65" t="s">
        <v>334</v>
      </c>
      <c r="P65" t="s">
        <v>334</v>
      </c>
      <c r="Q65" t="s">
        <v>56</v>
      </c>
      <c r="R65" t="s">
        <v>334</v>
      </c>
      <c r="S65" t="s">
        <v>333</v>
      </c>
    </row>
    <row r="66" spans="1:20" x14ac:dyDescent="0.2">
      <c r="A66">
        <v>1654310321</v>
      </c>
      <c r="B66">
        <v>15</v>
      </c>
      <c r="C66" t="s">
        <v>12</v>
      </c>
      <c r="D66" t="s">
        <v>55</v>
      </c>
      <c r="E66" t="s">
        <v>4</v>
      </c>
      <c r="F66" t="s">
        <v>3</v>
      </c>
      <c r="G66" t="s">
        <v>334</v>
      </c>
      <c r="H66" t="s">
        <v>334</v>
      </c>
      <c r="I66" t="s">
        <v>334</v>
      </c>
      <c r="J66" t="s">
        <v>334</v>
      </c>
      <c r="K66" t="s">
        <v>334</v>
      </c>
      <c r="L66" t="s">
        <v>334</v>
      </c>
      <c r="M66" t="s">
        <v>334</v>
      </c>
      <c r="N66" t="s">
        <v>334</v>
      </c>
      <c r="O66" t="s">
        <v>54</v>
      </c>
      <c r="P66" t="s">
        <v>334</v>
      </c>
      <c r="Q66" t="s">
        <v>53</v>
      </c>
      <c r="R66" t="s">
        <v>334</v>
      </c>
      <c r="S66" t="s">
        <v>333</v>
      </c>
    </row>
    <row r="67" spans="1:20" x14ac:dyDescent="0.2">
      <c r="A67">
        <v>1697510114</v>
      </c>
      <c r="B67">
        <v>10</v>
      </c>
      <c r="C67" t="s">
        <v>12</v>
      </c>
      <c r="D67" t="s">
        <v>52</v>
      </c>
      <c r="E67" t="s">
        <v>4</v>
      </c>
      <c r="F67" t="s">
        <v>3</v>
      </c>
      <c r="G67" t="s">
        <v>334</v>
      </c>
      <c r="H67" t="s">
        <v>334</v>
      </c>
      <c r="I67" t="s">
        <v>334</v>
      </c>
      <c r="J67" t="s">
        <v>334</v>
      </c>
      <c r="K67" t="s">
        <v>334</v>
      </c>
      <c r="L67" t="s">
        <v>334</v>
      </c>
      <c r="M67" t="s">
        <v>334</v>
      </c>
      <c r="N67" t="s">
        <v>334</v>
      </c>
      <c r="O67" t="s">
        <v>334</v>
      </c>
      <c r="P67" t="s">
        <v>334</v>
      </c>
      <c r="Q67" t="s">
        <v>51</v>
      </c>
      <c r="R67" t="s">
        <v>334</v>
      </c>
      <c r="S67" t="s">
        <v>333</v>
      </c>
    </row>
    <row r="68" spans="1:20" x14ac:dyDescent="0.2">
      <c r="A68">
        <v>1721910713</v>
      </c>
      <c r="B68">
        <v>12</v>
      </c>
      <c r="C68" t="s">
        <v>6</v>
      </c>
      <c r="D68" t="s">
        <v>50</v>
      </c>
      <c r="E68" t="s">
        <v>4</v>
      </c>
      <c r="F68" t="s">
        <v>3</v>
      </c>
      <c r="G68" t="s">
        <v>334</v>
      </c>
      <c r="H68" t="s">
        <v>334</v>
      </c>
      <c r="I68" t="s">
        <v>334</v>
      </c>
      <c r="J68" t="s">
        <v>334</v>
      </c>
      <c r="K68" t="s">
        <v>334</v>
      </c>
      <c r="L68" t="s">
        <v>334</v>
      </c>
      <c r="M68" t="s">
        <v>334</v>
      </c>
      <c r="N68" t="s">
        <v>334</v>
      </c>
      <c r="O68" t="s">
        <v>49</v>
      </c>
      <c r="P68" t="s">
        <v>334</v>
      </c>
      <c r="Q68" t="s">
        <v>48</v>
      </c>
      <c r="R68" t="s">
        <v>334</v>
      </c>
      <c r="S68" t="s">
        <v>333</v>
      </c>
    </row>
    <row r="69" spans="1:20" x14ac:dyDescent="0.2">
      <c r="A69">
        <v>1833510766</v>
      </c>
      <c r="B69">
        <v>4</v>
      </c>
      <c r="C69" t="s">
        <v>6</v>
      </c>
      <c r="D69" t="s">
        <v>47</v>
      </c>
      <c r="E69" t="s">
        <v>4</v>
      </c>
      <c r="F69" t="s">
        <v>3</v>
      </c>
      <c r="G69" t="s">
        <v>334</v>
      </c>
      <c r="H69" t="s">
        <v>334</v>
      </c>
      <c r="I69" t="s">
        <v>334</v>
      </c>
      <c r="J69" t="s">
        <v>334</v>
      </c>
      <c r="K69" t="s">
        <v>334</v>
      </c>
      <c r="L69" t="s">
        <v>334</v>
      </c>
      <c r="M69" t="s">
        <v>334</v>
      </c>
      <c r="N69" t="s">
        <v>334</v>
      </c>
      <c r="O69" t="s">
        <v>46</v>
      </c>
      <c r="P69" t="s">
        <v>334</v>
      </c>
      <c r="Q69" t="s">
        <v>45</v>
      </c>
      <c r="R69" t="s">
        <v>334</v>
      </c>
      <c r="S69" t="s">
        <v>38</v>
      </c>
    </row>
    <row r="70" spans="1:20" x14ac:dyDescent="0.2">
      <c r="A70">
        <v>1837010125</v>
      </c>
      <c r="B70">
        <v>12</v>
      </c>
      <c r="C70" t="s">
        <v>6</v>
      </c>
      <c r="D70" t="s">
        <v>44</v>
      </c>
      <c r="E70" t="s">
        <v>4</v>
      </c>
      <c r="F70" t="s">
        <v>3</v>
      </c>
      <c r="G70" t="s">
        <v>334</v>
      </c>
      <c r="H70" t="s">
        <v>334</v>
      </c>
      <c r="I70" t="s">
        <v>334</v>
      </c>
      <c r="J70" t="s">
        <v>334</v>
      </c>
      <c r="K70" t="s">
        <v>334</v>
      </c>
      <c r="L70" t="s">
        <v>334</v>
      </c>
      <c r="M70" t="s">
        <v>334</v>
      </c>
      <c r="N70" t="s">
        <v>334</v>
      </c>
      <c r="O70" t="s">
        <v>43</v>
      </c>
      <c r="P70" t="s">
        <v>334</v>
      </c>
      <c r="Q70" t="s">
        <v>42</v>
      </c>
      <c r="R70" t="s">
        <v>334</v>
      </c>
      <c r="S70" t="s">
        <v>333</v>
      </c>
    </row>
    <row r="71" spans="1:20" x14ac:dyDescent="0.2">
      <c r="A71">
        <v>1865510448</v>
      </c>
      <c r="B71">
        <v>13</v>
      </c>
      <c r="C71" t="s">
        <v>12</v>
      </c>
      <c r="D71" t="s">
        <v>41</v>
      </c>
      <c r="E71" t="s">
        <v>4</v>
      </c>
      <c r="F71" t="s">
        <v>3</v>
      </c>
      <c r="G71" t="s">
        <v>334</v>
      </c>
      <c r="H71" t="s">
        <v>40</v>
      </c>
      <c r="I71" t="s">
        <v>334</v>
      </c>
      <c r="J71" t="s">
        <v>334</v>
      </c>
      <c r="K71" t="s">
        <v>334</v>
      </c>
      <c r="L71" t="s">
        <v>334</v>
      </c>
      <c r="M71" t="s">
        <v>334</v>
      </c>
      <c r="N71" t="s">
        <v>334</v>
      </c>
      <c r="O71" t="s">
        <v>334</v>
      </c>
      <c r="P71" t="s">
        <v>334</v>
      </c>
      <c r="Q71" t="s">
        <v>39</v>
      </c>
      <c r="R71" t="s">
        <v>334</v>
      </c>
      <c r="S71" t="s">
        <v>38</v>
      </c>
      <c r="T71" t="s">
        <v>335</v>
      </c>
    </row>
    <row r="72" spans="1:20" x14ac:dyDescent="0.2">
      <c r="A72">
        <v>2000210593</v>
      </c>
      <c r="B72">
        <v>7</v>
      </c>
      <c r="C72" t="s">
        <v>12</v>
      </c>
      <c r="D72" t="s">
        <v>37</v>
      </c>
      <c r="E72" t="s">
        <v>4</v>
      </c>
      <c r="F72" t="s">
        <v>3</v>
      </c>
      <c r="G72" t="s">
        <v>334</v>
      </c>
      <c r="H72" t="s">
        <v>334</v>
      </c>
      <c r="I72" t="s">
        <v>334</v>
      </c>
      <c r="J72" t="s">
        <v>334</v>
      </c>
      <c r="K72" t="s">
        <v>334</v>
      </c>
      <c r="L72" t="s">
        <v>334</v>
      </c>
      <c r="M72" t="s">
        <v>334</v>
      </c>
      <c r="N72" t="s">
        <v>334</v>
      </c>
      <c r="O72" t="s">
        <v>334</v>
      </c>
      <c r="P72" t="s">
        <v>334</v>
      </c>
      <c r="Q72" t="s">
        <v>36</v>
      </c>
      <c r="R72" t="s">
        <v>334</v>
      </c>
      <c r="S72" t="s">
        <v>333</v>
      </c>
    </row>
    <row r="73" spans="1:20" x14ac:dyDescent="0.2">
      <c r="A73">
        <v>2062710552</v>
      </c>
      <c r="B73">
        <v>19</v>
      </c>
      <c r="C73" t="s">
        <v>12</v>
      </c>
      <c r="D73" t="s">
        <v>35</v>
      </c>
      <c r="E73" t="s">
        <v>4</v>
      </c>
      <c r="F73" t="s">
        <v>3</v>
      </c>
      <c r="G73" t="s">
        <v>334</v>
      </c>
      <c r="H73" t="s">
        <v>334</v>
      </c>
      <c r="I73" t="s">
        <v>334</v>
      </c>
      <c r="J73" t="s">
        <v>334</v>
      </c>
      <c r="K73" t="s">
        <v>334</v>
      </c>
      <c r="L73" t="s">
        <v>334</v>
      </c>
      <c r="M73" t="s">
        <v>334</v>
      </c>
      <c r="N73" t="s">
        <v>334</v>
      </c>
      <c r="O73" t="s">
        <v>34</v>
      </c>
      <c r="P73" t="s">
        <v>334</v>
      </c>
      <c r="Q73" t="s">
        <v>33</v>
      </c>
      <c r="R73" t="s">
        <v>334</v>
      </c>
      <c r="S73" t="s">
        <v>333</v>
      </c>
    </row>
    <row r="74" spans="1:20" x14ac:dyDescent="0.2">
      <c r="A74">
        <v>2072410974</v>
      </c>
      <c r="B74">
        <v>17</v>
      </c>
      <c r="C74" t="s">
        <v>12</v>
      </c>
      <c r="D74" t="s">
        <v>32</v>
      </c>
      <c r="E74" t="s">
        <v>4</v>
      </c>
      <c r="F74" t="s">
        <v>3</v>
      </c>
      <c r="G74" t="s">
        <v>334</v>
      </c>
      <c r="H74" t="s">
        <v>334</v>
      </c>
      <c r="I74" t="s">
        <v>334</v>
      </c>
      <c r="J74" t="s">
        <v>334</v>
      </c>
      <c r="K74" t="s">
        <v>334</v>
      </c>
      <c r="L74" t="s">
        <v>334</v>
      </c>
      <c r="M74" t="s">
        <v>334</v>
      </c>
      <c r="N74" t="s">
        <v>334</v>
      </c>
      <c r="O74" t="s">
        <v>31</v>
      </c>
      <c r="P74" t="s">
        <v>334</v>
      </c>
      <c r="Q74" t="s">
        <v>30</v>
      </c>
      <c r="R74" t="s">
        <v>334</v>
      </c>
      <c r="S74" t="s">
        <v>333</v>
      </c>
    </row>
    <row r="75" spans="1:20" x14ac:dyDescent="0.2">
      <c r="A75">
        <v>2196210387</v>
      </c>
      <c r="B75">
        <v>6</v>
      </c>
      <c r="C75" t="s">
        <v>12</v>
      </c>
      <c r="D75" t="s">
        <v>29</v>
      </c>
      <c r="E75" t="s">
        <v>4</v>
      </c>
      <c r="F75" t="s">
        <v>3</v>
      </c>
      <c r="G75" t="s">
        <v>334</v>
      </c>
      <c r="H75" t="s">
        <v>334</v>
      </c>
      <c r="I75" t="s">
        <v>334</v>
      </c>
      <c r="J75" t="s">
        <v>334</v>
      </c>
      <c r="K75" t="s">
        <v>334</v>
      </c>
      <c r="L75" t="s">
        <v>334</v>
      </c>
      <c r="M75" t="s">
        <v>334</v>
      </c>
      <c r="N75" t="s">
        <v>334</v>
      </c>
      <c r="O75" t="s">
        <v>334</v>
      </c>
      <c r="P75" t="s">
        <v>334</v>
      </c>
      <c r="Q75" t="s">
        <v>28</v>
      </c>
      <c r="R75" t="s">
        <v>334</v>
      </c>
      <c r="S75" t="s">
        <v>333</v>
      </c>
    </row>
    <row r="76" spans="1:20" x14ac:dyDescent="0.2">
      <c r="A76">
        <v>2220510348</v>
      </c>
      <c r="B76">
        <v>19</v>
      </c>
      <c r="C76" t="s">
        <v>12</v>
      </c>
      <c r="D76" t="s">
        <v>27</v>
      </c>
      <c r="E76" t="s">
        <v>4</v>
      </c>
      <c r="F76" t="s">
        <v>3</v>
      </c>
      <c r="G76" t="s">
        <v>334</v>
      </c>
      <c r="H76" t="s">
        <v>334</v>
      </c>
      <c r="I76" t="s">
        <v>334</v>
      </c>
      <c r="J76" t="s">
        <v>334</v>
      </c>
      <c r="K76" t="s">
        <v>334</v>
      </c>
      <c r="L76" t="s">
        <v>334</v>
      </c>
      <c r="M76" t="s">
        <v>334</v>
      </c>
      <c r="N76" t="s">
        <v>334</v>
      </c>
      <c r="O76" t="s">
        <v>334</v>
      </c>
      <c r="P76" t="s">
        <v>334</v>
      </c>
      <c r="Q76" t="s">
        <v>26</v>
      </c>
      <c r="R76" t="s">
        <v>334</v>
      </c>
      <c r="S76" t="s">
        <v>333</v>
      </c>
    </row>
    <row r="77" spans="1:20" x14ac:dyDescent="0.2">
      <c r="A77">
        <v>2353710622</v>
      </c>
      <c r="B77">
        <v>16</v>
      </c>
      <c r="C77" t="s">
        <v>6</v>
      </c>
      <c r="D77" t="s">
        <v>25</v>
      </c>
      <c r="E77" t="s">
        <v>4</v>
      </c>
      <c r="F77" t="s">
        <v>3</v>
      </c>
      <c r="G77" t="s">
        <v>24</v>
      </c>
      <c r="H77" t="s">
        <v>334</v>
      </c>
      <c r="I77" t="s">
        <v>334</v>
      </c>
      <c r="J77" t="s">
        <v>334</v>
      </c>
      <c r="K77" t="s">
        <v>334</v>
      </c>
      <c r="L77" t="s">
        <v>334</v>
      </c>
      <c r="M77" t="s">
        <v>334</v>
      </c>
      <c r="N77" t="s">
        <v>334</v>
      </c>
      <c r="O77" t="s">
        <v>23</v>
      </c>
      <c r="P77" t="s">
        <v>334</v>
      </c>
      <c r="Q77" t="s">
        <v>22</v>
      </c>
      <c r="R77" t="s">
        <v>334</v>
      </c>
      <c r="S77" t="s">
        <v>333</v>
      </c>
    </row>
    <row r="78" spans="1:20" x14ac:dyDescent="0.2">
      <c r="A78">
        <v>2459710934</v>
      </c>
      <c r="B78">
        <v>3</v>
      </c>
      <c r="C78" t="s">
        <v>12</v>
      </c>
      <c r="D78" t="s">
        <v>21</v>
      </c>
      <c r="E78" t="s">
        <v>4</v>
      </c>
      <c r="F78" t="s">
        <v>3</v>
      </c>
      <c r="G78" t="s">
        <v>334</v>
      </c>
      <c r="H78" t="s">
        <v>334</v>
      </c>
      <c r="I78" t="s">
        <v>334</v>
      </c>
      <c r="J78" t="s">
        <v>334</v>
      </c>
      <c r="K78" t="s">
        <v>334</v>
      </c>
      <c r="L78" t="s">
        <v>334</v>
      </c>
      <c r="M78" t="s">
        <v>334</v>
      </c>
      <c r="N78" t="s">
        <v>334</v>
      </c>
      <c r="O78" t="s">
        <v>334</v>
      </c>
      <c r="P78" t="s">
        <v>334</v>
      </c>
      <c r="Q78" t="s">
        <v>20</v>
      </c>
      <c r="R78" t="s">
        <v>334</v>
      </c>
      <c r="S78" t="s">
        <v>333</v>
      </c>
    </row>
    <row r="79" spans="1:20" x14ac:dyDescent="0.2">
      <c r="A79">
        <v>2625910670</v>
      </c>
      <c r="B79">
        <v>13</v>
      </c>
      <c r="C79" t="s">
        <v>6</v>
      </c>
      <c r="D79" t="s">
        <v>19</v>
      </c>
      <c r="E79" t="s">
        <v>4</v>
      </c>
      <c r="F79" t="s">
        <v>3</v>
      </c>
      <c r="G79" t="s">
        <v>334</v>
      </c>
      <c r="H79" t="s">
        <v>334</v>
      </c>
      <c r="I79" t="s">
        <v>334</v>
      </c>
      <c r="J79" t="s">
        <v>334</v>
      </c>
      <c r="K79" t="s">
        <v>334</v>
      </c>
      <c r="L79" t="s">
        <v>334</v>
      </c>
      <c r="M79" t="s">
        <v>334</v>
      </c>
      <c r="N79" t="s">
        <v>334</v>
      </c>
      <c r="O79" t="s">
        <v>18</v>
      </c>
      <c r="P79" t="s">
        <v>334</v>
      </c>
      <c r="Q79" t="s">
        <v>17</v>
      </c>
      <c r="R79" t="s">
        <v>334</v>
      </c>
      <c r="S79" t="s">
        <v>38</v>
      </c>
    </row>
    <row r="80" spans="1:20" x14ac:dyDescent="0.2">
      <c r="A80">
        <v>2850010979</v>
      </c>
      <c r="B80">
        <v>2</v>
      </c>
      <c r="C80" t="s">
        <v>12</v>
      </c>
      <c r="D80" t="s">
        <v>16</v>
      </c>
      <c r="E80" t="s">
        <v>4</v>
      </c>
      <c r="F80" t="s">
        <v>3</v>
      </c>
      <c r="G80" t="s">
        <v>334</v>
      </c>
      <c r="H80" t="s">
        <v>334</v>
      </c>
      <c r="I80" t="s">
        <v>334</v>
      </c>
      <c r="J80" t="s">
        <v>334</v>
      </c>
      <c r="K80" t="s">
        <v>334</v>
      </c>
      <c r="L80" t="s">
        <v>334</v>
      </c>
      <c r="M80" t="s">
        <v>334</v>
      </c>
      <c r="N80" t="s">
        <v>334</v>
      </c>
      <c r="O80" t="s">
        <v>334</v>
      </c>
      <c r="P80" t="s">
        <v>334</v>
      </c>
      <c r="Q80" t="s">
        <v>15</v>
      </c>
      <c r="R80" t="s">
        <v>334</v>
      </c>
      <c r="S80" t="s">
        <v>333</v>
      </c>
    </row>
    <row r="81" spans="1:19" x14ac:dyDescent="0.2">
      <c r="A81">
        <v>2990210861</v>
      </c>
      <c r="B81">
        <v>1</v>
      </c>
      <c r="C81" t="s">
        <v>12</v>
      </c>
      <c r="D81" t="s">
        <v>14</v>
      </c>
      <c r="E81" t="s">
        <v>4</v>
      </c>
      <c r="F81" t="s">
        <v>3</v>
      </c>
      <c r="G81" t="s">
        <v>334</v>
      </c>
      <c r="H81" t="s">
        <v>334</v>
      </c>
      <c r="I81" t="s">
        <v>334</v>
      </c>
      <c r="J81" t="s">
        <v>334</v>
      </c>
      <c r="K81" t="s">
        <v>334</v>
      </c>
      <c r="L81" t="s">
        <v>334</v>
      </c>
      <c r="M81" t="s">
        <v>334</v>
      </c>
      <c r="N81" t="s">
        <v>334</v>
      </c>
      <c r="O81" t="s">
        <v>334</v>
      </c>
      <c r="P81" t="s">
        <v>334</v>
      </c>
      <c r="Q81" t="s">
        <v>13</v>
      </c>
      <c r="R81" t="s">
        <v>334</v>
      </c>
      <c r="S81" t="s">
        <v>333</v>
      </c>
    </row>
    <row r="82" spans="1:19" x14ac:dyDescent="0.2">
      <c r="A82">
        <v>3525210465</v>
      </c>
      <c r="B82">
        <v>53</v>
      </c>
      <c r="C82" t="s">
        <v>12</v>
      </c>
      <c r="D82" t="s">
        <v>11</v>
      </c>
      <c r="E82" t="s">
        <v>4</v>
      </c>
      <c r="F82" t="s">
        <v>3</v>
      </c>
      <c r="G82" t="s">
        <v>334</v>
      </c>
      <c r="H82" t="s">
        <v>334</v>
      </c>
      <c r="I82" t="s">
        <v>334</v>
      </c>
      <c r="J82" t="s">
        <v>334</v>
      </c>
      <c r="K82" t="s">
        <v>334</v>
      </c>
      <c r="L82" t="s">
        <v>334</v>
      </c>
      <c r="M82" t="s">
        <v>334</v>
      </c>
      <c r="N82" t="s">
        <v>334</v>
      </c>
      <c r="O82" t="s">
        <v>10</v>
      </c>
      <c r="P82" t="s">
        <v>334</v>
      </c>
      <c r="Q82" t="s">
        <v>9</v>
      </c>
      <c r="R82" t="s">
        <v>334</v>
      </c>
      <c r="S82" t="s">
        <v>333</v>
      </c>
    </row>
    <row r="83" spans="1:19" x14ac:dyDescent="0.2">
      <c r="A83">
        <v>3782210815</v>
      </c>
      <c r="B83">
        <v>43</v>
      </c>
      <c r="C83" t="s">
        <v>6</v>
      </c>
      <c r="D83" t="s">
        <v>8</v>
      </c>
      <c r="E83" t="s">
        <v>4</v>
      </c>
      <c r="F83" t="s">
        <v>3</v>
      </c>
      <c r="G83" t="s">
        <v>334</v>
      </c>
      <c r="H83" t="s">
        <v>334</v>
      </c>
      <c r="I83" t="s">
        <v>334</v>
      </c>
      <c r="J83" t="s">
        <v>334</v>
      </c>
      <c r="K83" t="s">
        <v>334</v>
      </c>
      <c r="L83" t="s">
        <v>334</v>
      </c>
      <c r="M83" t="s">
        <v>334</v>
      </c>
      <c r="N83" t="s">
        <v>334</v>
      </c>
      <c r="O83" t="s">
        <v>334</v>
      </c>
      <c r="P83" t="s">
        <v>334</v>
      </c>
      <c r="Q83" t="s">
        <v>7</v>
      </c>
      <c r="R83" t="s">
        <v>334</v>
      </c>
      <c r="S83" t="s">
        <v>333</v>
      </c>
    </row>
    <row r="84" spans="1:19" x14ac:dyDescent="0.2">
      <c r="A84">
        <v>4946010229</v>
      </c>
      <c r="B84">
        <v>5</v>
      </c>
      <c r="C84" t="s">
        <v>6</v>
      </c>
      <c r="D84" t="s">
        <v>5</v>
      </c>
      <c r="E84" t="s">
        <v>4</v>
      </c>
      <c r="F84" t="s">
        <v>3</v>
      </c>
      <c r="G84" t="s">
        <v>334</v>
      </c>
      <c r="H84" t="s">
        <v>334</v>
      </c>
      <c r="I84" t="s">
        <v>334</v>
      </c>
      <c r="J84" t="s">
        <v>334</v>
      </c>
      <c r="K84" t="s">
        <v>334</v>
      </c>
      <c r="L84" t="s">
        <v>334</v>
      </c>
      <c r="M84" t="s">
        <v>334</v>
      </c>
      <c r="N84" t="s">
        <v>334</v>
      </c>
      <c r="O84" t="s">
        <v>2</v>
      </c>
      <c r="P84" t="s">
        <v>334</v>
      </c>
      <c r="Q84" t="s">
        <v>1</v>
      </c>
      <c r="R84" t="s">
        <v>334</v>
      </c>
      <c r="S84" t="s">
        <v>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A795-CFA0-FB47-AAF4-66A487BF9643}">
  <dimension ref="A1:S84"/>
  <sheetViews>
    <sheetView workbookViewId="0">
      <selection activeCell="D27" sqref="D27"/>
    </sheetView>
  </sheetViews>
  <sheetFormatPr baseColWidth="10" defaultRowHeight="16" x14ac:dyDescent="0.2"/>
  <sheetData>
    <row r="1" spans="1:19" x14ac:dyDescent="0.2">
      <c r="A1" t="s">
        <v>259</v>
      </c>
      <c r="B1" t="s">
        <v>258</v>
      </c>
      <c r="C1" t="s">
        <v>257</v>
      </c>
      <c r="D1" t="s">
        <v>256</v>
      </c>
      <c r="E1" t="s">
        <v>255</v>
      </c>
      <c r="F1" t="s">
        <v>254</v>
      </c>
      <c r="G1" t="s">
        <v>253</v>
      </c>
      <c r="H1" t="s">
        <v>252</v>
      </c>
      <c r="I1" t="s">
        <v>251</v>
      </c>
      <c r="J1" t="s">
        <v>250</v>
      </c>
      <c r="K1" t="s">
        <v>249</v>
      </c>
      <c r="L1" t="s">
        <v>248</v>
      </c>
      <c r="M1" t="s">
        <v>247</v>
      </c>
      <c r="N1" t="s">
        <v>246</v>
      </c>
      <c r="O1" t="s">
        <v>245</v>
      </c>
      <c r="P1" t="s">
        <v>244</v>
      </c>
      <c r="Q1" t="s">
        <v>243</v>
      </c>
      <c r="R1" t="s">
        <v>242</v>
      </c>
      <c r="S1" t="s">
        <v>241</v>
      </c>
    </row>
    <row r="2" spans="1:19" x14ac:dyDescent="0.2">
      <c r="A2">
        <v>643110884</v>
      </c>
      <c r="B2">
        <v>50</v>
      </c>
      <c r="C2" t="s">
        <v>12</v>
      </c>
      <c r="D2" t="s">
        <v>240</v>
      </c>
      <c r="E2" t="s">
        <v>4</v>
      </c>
      <c r="F2" t="s">
        <v>239</v>
      </c>
      <c r="O2" t="s">
        <v>238</v>
      </c>
      <c r="Q2" t="s">
        <v>237</v>
      </c>
      <c r="S2" t="s">
        <v>0</v>
      </c>
    </row>
    <row r="3" spans="1:19" x14ac:dyDescent="0.2">
      <c r="A3">
        <v>706710306</v>
      </c>
      <c r="B3">
        <v>48</v>
      </c>
      <c r="C3" t="s">
        <v>12</v>
      </c>
      <c r="D3" t="s">
        <v>236</v>
      </c>
      <c r="E3" t="s">
        <v>4</v>
      </c>
      <c r="F3" t="s">
        <v>235</v>
      </c>
      <c r="O3" t="s">
        <v>234</v>
      </c>
      <c r="Q3" t="s">
        <v>233</v>
      </c>
      <c r="S3" t="s">
        <v>0</v>
      </c>
    </row>
    <row r="4" spans="1:19" x14ac:dyDescent="0.2">
      <c r="A4">
        <v>384210994</v>
      </c>
      <c r="B4">
        <v>30</v>
      </c>
      <c r="C4" t="s">
        <v>12</v>
      </c>
      <c r="D4" t="s">
        <v>232</v>
      </c>
      <c r="E4" t="s">
        <v>4</v>
      </c>
      <c r="F4" t="s">
        <v>231</v>
      </c>
      <c r="Q4" t="s">
        <v>230</v>
      </c>
      <c r="S4" t="s">
        <v>0</v>
      </c>
    </row>
    <row r="5" spans="1:19" x14ac:dyDescent="0.2">
      <c r="A5">
        <v>1502010397</v>
      </c>
      <c r="B5">
        <v>15</v>
      </c>
      <c r="C5" t="s">
        <v>12</v>
      </c>
      <c r="D5" t="s">
        <v>229</v>
      </c>
      <c r="E5" t="s">
        <v>4</v>
      </c>
      <c r="F5" t="s">
        <v>228</v>
      </c>
      <c r="O5" t="s">
        <v>227</v>
      </c>
      <c r="Q5" t="s">
        <v>226</v>
      </c>
      <c r="S5" t="s">
        <v>0</v>
      </c>
    </row>
    <row r="6" spans="1:19" x14ac:dyDescent="0.2">
      <c r="A6">
        <v>503810366</v>
      </c>
      <c r="B6">
        <v>72</v>
      </c>
      <c r="C6" t="s">
        <v>12</v>
      </c>
      <c r="D6" t="s">
        <v>225</v>
      </c>
      <c r="E6" t="s">
        <v>4</v>
      </c>
      <c r="F6" t="s">
        <v>220</v>
      </c>
      <c r="I6" t="s">
        <v>224</v>
      </c>
      <c r="O6" t="s">
        <v>223</v>
      </c>
      <c r="Q6" t="s">
        <v>222</v>
      </c>
      <c r="S6" t="s">
        <v>0</v>
      </c>
    </row>
    <row r="7" spans="1:19" x14ac:dyDescent="0.2">
      <c r="A7">
        <v>5282710166</v>
      </c>
      <c r="B7">
        <v>22</v>
      </c>
      <c r="C7" t="s">
        <v>12</v>
      </c>
      <c r="D7" t="s">
        <v>221</v>
      </c>
      <c r="E7" t="s">
        <v>4</v>
      </c>
      <c r="F7" t="s">
        <v>220</v>
      </c>
      <c r="O7" t="s">
        <v>219</v>
      </c>
      <c r="Q7" t="s">
        <v>218</v>
      </c>
      <c r="S7" t="s">
        <v>0</v>
      </c>
    </row>
    <row r="8" spans="1:19" x14ac:dyDescent="0.2">
      <c r="A8">
        <v>153910595</v>
      </c>
      <c r="B8">
        <v>60</v>
      </c>
      <c r="C8" t="s">
        <v>12</v>
      </c>
      <c r="D8" t="s">
        <v>217</v>
      </c>
      <c r="E8" t="s">
        <v>4</v>
      </c>
      <c r="F8" t="s">
        <v>216</v>
      </c>
      <c r="O8" t="s">
        <v>215</v>
      </c>
      <c r="S8" t="s">
        <v>94</v>
      </c>
    </row>
    <row r="9" spans="1:19" x14ac:dyDescent="0.2">
      <c r="A9">
        <v>239110163</v>
      </c>
      <c r="B9">
        <v>11</v>
      </c>
      <c r="C9" t="s">
        <v>6</v>
      </c>
      <c r="D9" t="s">
        <v>214</v>
      </c>
      <c r="E9" t="s">
        <v>4</v>
      </c>
      <c r="F9" t="s">
        <v>192</v>
      </c>
      <c r="O9" t="s">
        <v>213</v>
      </c>
      <c r="Q9" t="s">
        <v>212</v>
      </c>
      <c r="S9" t="s">
        <v>0</v>
      </c>
    </row>
    <row r="10" spans="1:19" x14ac:dyDescent="0.2">
      <c r="A10">
        <v>258510963</v>
      </c>
      <c r="B10">
        <v>48</v>
      </c>
      <c r="C10" t="s">
        <v>12</v>
      </c>
      <c r="D10" t="s">
        <v>211</v>
      </c>
      <c r="E10" t="s">
        <v>4</v>
      </c>
      <c r="F10" t="s">
        <v>192</v>
      </c>
      <c r="Q10" t="s">
        <v>210</v>
      </c>
      <c r="S10" t="s">
        <v>0</v>
      </c>
    </row>
    <row r="11" spans="1:19" x14ac:dyDescent="0.2">
      <c r="A11">
        <v>366910461</v>
      </c>
      <c r="B11">
        <v>15</v>
      </c>
      <c r="C11" t="s">
        <v>12</v>
      </c>
      <c r="D11" t="s">
        <v>209</v>
      </c>
      <c r="E11" t="s">
        <v>4</v>
      </c>
      <c r="F11" t="s">
        <v>192</v>
      </c>
      <c r="Q11" t="s">
        <v>208</v>
      </c>
      <c r="S11" t="s">
        <v>0</v>
      </c>
    </row>
    <row r="12" spans="1:19" x14ac:dyDescent="0.2">
      <c r="A12">
        <v>592410349</v>
      </c>
      <c r="B12">
        <v>21</v>
      </c>
      <c r="C12" t="s">
        <v>12</v>
      </c>
      <c r="D12" t="s">
        <v>207</v>
      </c>
      <c r="E12" t="s">
        <v>4</v>
      </c>
      <c r="F12" t="s">
        <v>206</v>
      </c>
      <c r="O12" t="s">
        <v>205</v>
      </c>
      <c r="Q12" t="s">
        <v>204</v>
      </c>
      <c r="S12" t="s">
        <v>0</v>
      </c>
    </row>
    <row r="13" spans="1:19" x14ac:dyDescent="0.2">
      <c r="A13">
        <v>1094310233</v>
      </c>
      <c r="B13">
        <v>4</v>
      </c>
      <c r="C13" t="s">
        <v>12</v>
      </c>
      <c r="D13" t="s">
        <v>203</v>
      </c>
      <c r="E13" t="s">
        <v>4</v>
      </c>
      <c r="F13" t="s">
        <v>192</v>
      </c>
      <c r="O13" t="s">
        <v>202</v>
      </c>
      <c r="Q13" t="s">
        <v>201</v>
      </c>
      <c r="S13" t="s">
        <v>0</v>
      </c>
    </row>
    <row r="14" spans="1:19" x14ac:dyDescent="0.2">
      <c r="A14">
        <v>1237910593</v>
      </c>
      <c r="B14">
        <v>4</v>
      </c>
      <c r="C14" t="s">
        <v>12</v>
      </c>
      <c r="D14" t="s">
        <v>200</v>
      </c>
      <c r="E14" t="s">
        <v>4</v>
      </c>
      <c r="F14" t="s">
        <v>192</v>
      </c>
      <c r="O14" t="s">
        <v>199</v>
      </c>
      <c r="Q14" t="s">
        <v>198</v>
      </c>
      <c r="S14" t="s">
        <v>0</v>
      </c>
    </row>
    <row r="15" spans="1:19" x14ac:dyDescent="0.2">
      <c r="A15">
        <v>1489110030</v>
      </c>
      <c r="B15">
        <v>60</v>
      </c>
      <c r="C15" t="s">
        <v>6</v>
      </c>
      <c r="D15" t="s">
        <v>197</v>
      </c>
      <c r="E15" t="s">
        <v>4</v>
      </c>
      <c r="F15" t="s">
        <v>192</v>
      </c>
      <c r="S15" t="s">
        <v>94</v>
      </c>
    </row>
    <row r="16" spans="1:19" x14ac:dyDescent="0.2">
      <c r="A16">
        <v>3333010111</v>
      </c>
      <c r="B16">
        <v>5</v>
      </c>
      <c r="C16" t="s">
        <v>6</v>
      </c>
      <c r="D16" t="s">
        <v>196</v>
      </c>
      <c r="E16" t="s">
        <v>4</v>
      </c>
      <c r="F16" t="s">
        <v>195</v>
      </c>
      <c r="Q16" t="s">
        <v>194</v>
      </c>
      <c r="S16" t="s">
        <v>0</v>
      </c>
    </row>
    <row r="17" spans="1:19" x14ac:dyDescent="0.2">
      <c r="A17">
        <v>4298610465</v>
      </c>
      <c r="B17">
        <v>33</v>
      </c>
      <c r="C17" t="s">
        <v>12</v>
      </c>
      <c r="D17" t="s">
        <v>193</v>
      </c>
      <c r="E17" t="s">
        <v>4</v>
      </c>
      <c r="F17" t="s">
        <v>192</v>
      </c>
      <c r="O17" t="s">
        <v>191</v>
      </c>
      <c r="Q17" t="s">
        <v>190</v>
      </c>
      <c r="S17" t="s">
        <v>0</v>
      </c>
    </row>
    <row r="18" spans="1:19" x14ac:dyDescent="0.2">
      <c r="A18">
        <v>863610325</v>
      </c>
      <c r="B18">
        <v>23</v>
      </c>
      <c r="C18" t="s">
        <v>6</v>
      </c>
      <c r="D18" t="s">
        <v>189</v>
      </c>
      <c r="E18" t="s">
        <v>4</v>
      </c>
      <c r="F18" t="s">
        <v>188</v>
      </c>
      <c r="Q18" t="s">
        <v>187</v>
      </c>
      <c r="S18" t="s">
        <v>0</v>
      </c>
    </row>
    <row r="19" spans="1:19" x14ac:dyDescent="0.2">
      <c r="A19">
        <v>3882310263</v>
      </c>
      <c r="B19">
        <v>6</v>
      </c>
      <c r="C19" t="s">
        <v>12</v>
      </c>
      <c r="D19" t="s">
        <v>186</v>
      </c>
      <c r="E19" t="s">
        <v>4</v>
      </c>
      <c r="F19" t="s">
        <v>185</v>
      </c>
      <c r="Q19" t="s">
        <v>184</v>
      </c>
      <c r="S19" t="s">
        <v>0</v>
      </c>
    </row>
    <row r="20" spans="1:19" x14ac:dyDescent="0.2">
      <c r="A20">
        <v>502810717</v>
      </c>
      <c r="B20">
        <v>35</v>
      </c>
      <c r="C20" t="s">
        <v>12</v>
      </c>
      <c r="D20" t="s">
        <v>183</v>
      </c>
      <c r="E20" t="s">
        <v>4</v>
      </c>
      <c r="F20" t="s">
        <v>177</v>
      </c>
      <c r="I20" t="s">
        <v>182</v>
      </c>
      <c r="Q20" t="s">
        <v>181</v>
      </c>
      <c r="S20" t="s">
        <v>0</v>
      </c>
    </row>
    <row r="21" spans="1:19" x14ac:dyDescent="0.2">
      <c r="A21">
        <v>811810047</v>
      </c>
      <c r="B21">
        <v>66</v>
      </c>
      <c r="C21" t="s">
        <v>12</v>
      </c>
      <c r="D21" t="s">
        <v>180</v>
      </c>
      <c r="E21" t="s">
        <v>4</v>
      </c>
      <c r="F21" t="s">
        <v>177</v>
      </c>
      <c r="Q21" t="s">
        <v>179</v>
      </c>
      <c r="S21" t="s">
        <v>0</v>
      </c>
    </row>
    <row r="22" spans="1:19" x14ac:dyDescent="0.2">
      <c r="A22">
        <v>1626210870</v>
      </c>
      <c r="B22">
        <v>4</v>
      </c>
      <c r="C22" t="s">
        <v>6</v>
      </c>
      <c r="D22" t="s">
        <v>178</v>
      </c>
      <c r="E22" t="s">
        <v>4</v>
      </c>
      <c r="F22" t="s">
        <v>177</v>
      </c>
      <c r="Q22" t="s">
        <v>176</v>
      </c>
      <c r="S22" t="s">
        <v>0</v>
      </c>
    </row>
    <row r="23" spans="1:19" x14ac:dyDescent="0.2">
      <c r="A23">
        <v>2213210607</v>
      </c>
      <c r="B23">
        <v>45</v>
      </c>
      <c r="C23" t="s">
        <v>6</v>
      </c>
      <c r="D23" t="s">
        <v>175</v>
      </c>
      <c r="E23" t="s">
        <v>4</v>
      </c>
      <c r="F23" t="s">
        <v>174</v>
      </c>
      <c r="O23" t="s">
        <v>173</v>
      </c>
      <c r="Q23" t="s">
        <v>172</v>
      </c>
      <c r="S23" t="s">
        <v>0</v>
      </c>
    </row>
    <row r="24" spans="1:19" x14ac:dyDescent="0.2">
      <c r="A24">
        <v>5494710200</v>
      </c>
      <c r="B24">
        <v>13</v>
      </c>
      <c r="C24" t="s">
        <v>12</v>
      </c>
      <c r="D24" t="s">
        <v>171</v>
      </c>
      <c r="E24" t="s">
        <v>4</v>
      </c>
      <c r="F24" t="s">
        <v>170</v>
      </c>
      <c r="Q24" t="s">
        <v>169</v>
      </c>
      <c r="S24" t="s">
        <v>0</v>
      </c>
    </row>
    <row r="25" spans="1:19" x14ac:dyDescent="0.2">
      <c r="A25">
        <v>1525510677</v>
      </c>
      <c r="B25">
        <v>36</v>
      </c>
      <c r="C25" t="s">
        <v>12</v>
      </c>
      <c r="D25" t="s">
        <v>168</v>
      </c>
      <c r="E25" t="s">
        <v>4</v>
      </c>
      <c r="F25" t="s">
        <v>167</v>
      </c>
      <c r="O25" t="s">
        <v>166</v>
      </c>
      <c r="Q25" t="s">
        <v>165</v>
      </c>
      <c r="S25" t="s">
        <v>0</v>
      </c>
    </row>
    <row r="26" spans="1:19" x14ac:dyDescent="0.2">
      <c r="A26">
        <v>3810766</v>
      </c>
      <c r="B26">
        <v>11</v>
      </c>
      <c r="C26" t="s">
        <v>12</v>
      </c>
      <c r="D26" t="s">
        <v>164</v>
      </c>
      <c r="E26" t="s">
        <v>4</v>
      </c>
      <c r="F26" t="s">
        <v>3</v>
      </c>
      <c r="O26" t="s">
        <v>163</v>
      </c>
      <c r="Q26" t="s">
        <v>162</v>
      </c>
      <c r="S26" t="s">
        <v>0</v>
      </c>
    </row>
    <row r="27" spans="1:19" x14ac:dyDescent="0.2">
      <c r="A27">
        <v>4610438</v>
      </c>
      <c r="B27">
        <v>72</v>
      </c>
      <c r="C27" t="s">
        <v>12</v>
      </c>
      <c r="D27" t="s">
        <v>161</v>
      </c>
      <c r="E27" t="s">
        <v>4</v>
      </c>
      <c r="F27" t="s">
        <v>160</v>
      </c>
      <c r="I27" t="s">
        <v>159</v>
      </c>
      <c r="O27" t="s">
        <v>158</v>
      </c>
      <c r="Q27" t="s">
        <v>157</v>
      </c>
      <c r="S27" t="s">
        <v>0</v>
      </c>
    </row>
    <row r="28" spans="1:19" x14ac:dyDescent="0.2">
      <c r="A28">
        <v>9710983</v>
      </c>
      <c r="B28">
        <v>12</v>
      </c>
      <c r="C28" t="s">
        <v>12</v>
      </c>
      <c r="D28" t="s">
        <v>156</v>
      </c>
      <c r="E28" t="s">
        <v>4</v>
      </c>
      <c r="F28" t="s">
        <v>3</v>
      </c>
      <c r="O28" t="s">
        <v>155</v>
      </c>
      <c r="Q28" t="s">
        <v>154</v>
      </c>
      <c r="S28" t="s">
        <v>0</v>
      </c>
    </row>
    <row r="29" spans="1:19" x14ac:dyDescent="0.2">
      <c r="A29">
        <v>62910668</v>
      </c>
      <c r="B29">
        <v>59</v>
      </c>
      <c r="C29" t="s">
        <v>12</v>
      </c>
      <c r="D29" t="s">
        <v>153</v>
      </c>
      <c r="E29" t="s">
        <v>4</v>
      </c>
      <c r="F29" t="s">
        <v>3</v>
      </c>
      <c r="O29" t="s">
        <v>152</v>
      </c>
      <c r="Q29" t="s">
        <v>151</v>
      </c>
      <c r="S29" t="s">
        <v>0</v>
      </c>
    </row>
    <row r="30" spans="1:19" x14ac:dyDescent="0.2">
      <c r="A30">
        <v>70210987</v>
      </c>
      <c r="B30">
        <v>75</v>
      </c>
      <c r="C30" t="s">
        <v>12</v>
      </c>
      <c r="D30" t="s">
        <v>150</v>
      </c>
      <c r="E30" t="s">
        <v>4</v>
      </c>
      <c r="F30" t="s">
        <v>3</v>
      </c>
      <c r="S30" t="s">
        <v>94</v>
      </c>
    </row>
    <row r="31" spans="1:19" x14ac:dyDescent="0.2">
      <c r="A31">
        <v>87610928</v>
      </c>
      <c r="B31">
        <v>14</v>
      </c>
      <c r="C31" t="s">
        <v>12</v>
      </c>
      <c r="D31" t="s">
        <v>149</v>
      </c>
      <c r="E31" t="s">
        <v>4</v>
      </c>
      <c r="F31" t="s">
        <v>3</v>
      </c>
      <c r="O31" t="s">
        <v>148</v>
      </c>
      <c r="Q31" t="s">
        <v>147</v>
      </c>
      <c r="S31" t="s">
        <v>0</v>
      </c>
    </row>
    <row r="32" spans="1:19" x14ac:dyDescent="0.2">
      <c r="A32">
        <v>92810885</v>
      </c>
      <c r="B32">
        <v>24</v>
      </c>
      <c r="C32" t="s">
        <v>12</v>
      </c>
      <c r="D32" t="s">
        <v>146</v>
      </c>
      <c r="E32" t="s">
        <v>4</v>
      </c>
      <c r="F32" t="s">
        <v>3</v>
      </c>
      <c r="O32" t="s">
        <v>145</v>
      </c>
      <c r="Q32" t="s">
        <v>144</v>
      </c>
      <c r="S32" t="s">
        <v>0</v>
      </c>
    </row>
    <row r="33" spans="1:19" x14ac:dyDescent="0.2">
      <c r="A33">
        <v>129310347</v>
      </c>
      <c r="B33">
        <v>30</v>
      </c>
      <c r="C33" t="s">
        <v>12</v>
      </c>
      <c r="D33" t="s">
        <v>143</v>
      </c>
      <c r="E33" t="s">
        <v>4</v>
      </c>
      <c r="F33" t="s">
        <v>3</v>
      </c>
      <c r="O33" t="s">
        <v>142</v>
      </c>
      <c r="Q33" t="s">
        <v>141</v>
      </c>
      <c r="S33" t="s">
        <v>0</v>
      </c>
    </row>
    <row r="34" spans="1:19" x14ac:dyDescent="0.2">
      <c r="A34">
        <v>214510962</v>
      </c>
      <c r="B34">
        <v>67</v>
      </c>
      <c r="C34" t="s">
        <v>6</v>
      </c>
      <c r="D34" t="s">
        <v>140</v>
      </c>
      <c r="E34" t="s">
        <v>4</v>
      </c>
      <c r="F34" t="s">
        <v>3</v>
      </c>
      <c r="I34" t="s">
        <v>139</v>
      </c>
      <c r="Q34" t="s">
        <v>138</v>
      </c>
      <c r="S34" t="s">
        <v>0</v>
      </c>
    </row>
    <row r="35" spans="1:19" x14ac:dyDescent="0.2">
      <c r="A35">
        <v>244010017</v>
      </c>
      <c r="B35">
        <v>17</v>
      </c>
      <c r="C35" t="s">
        <v>6</v>
      </c>
      <c r="D35" t="s">
        <v>137</v>
      </c>
      <c r="E35" t="s">
        <v>4</v>
      </c>
      <c r="F35" t="s">
        <v>136</v>
      </c>
      <c r="O35" t="s">
        <v>135</v>
      </c>
      <c r="Q35" t="s">
        <v>134</v>
      </c>
      <c r="S35" t="s">
        <v>0</v>
      </c>
    </row>
    <row r="36" spans="1:19" x14ac:dyDescent="0.2">
      <c r="A36">
        <v>319810053</v>
      </c>
      <c r="B36">
        <v>13</v>
      </c>
      <c r="C36" t="s">
        <v>12</v>
      </c>
      <c r="D36" t="s">
        <v>133</v>
      </c>
      <c r="E36" t="s">
        <v>4</v>
      </c>
      <c r="F36" t="s">
        <v>3</v>
      </c>
      <c r="O36" t="s">
        <v>132</v>
      </c>
      <c r="Q36" t="s">
        <v>131</v>
      </c>
      <c r="S36" t="s">
        <v>0</v>
      </c>
    </row>
    <row r="37" spans="1:19" x14ac:dyDescent="0.2">
      <c r="A37">
        <v>358110249</v>
      </c>
      <c r="B37">
        <v>40</v>
      </c>
      <c r="C37" t="s">
        <v>12</v>
      </c>
      <c r="D37" t="s">
        <v>130</v>
      </c>
      <c r="E37" t="s">
        <v>4</v>
      </c>
      <c r="F37" t="s">
        <v>3</v>
      </c>
      <c r="I37" t="s">
        <v>129</v>
      </c>
      <c r="O37" t="s">
        <v>128</v>
      </c>
      <c r="P37" t="s">
        <v>127</v>
      </c>
      <c r="Q37" t="s">
        <v>126</v>
      </c>
      <c r="S37" t="s">
        <v>0</v>
      </c>
    </row>
    <row r="38" spans="1:19" x14ac:dyDescent="0.2">
      <c r="A38">
        <v>401410971</v>
      </c>
      <c r="B38">
        <v>19</v>
      </c>
      <c r="C38" t="s">
        <v>6</v>
      </c>
      <c r="D38" t="s">
        <v>125</v>
      </c>
      <c r="E38" t="s">
        <v>4</v>
      </c>
      <c r="F38" t="s">
        <v>3</v>
      </c>
      <c r="Q38" t="s">
        <v>124</v>
      </c>
      <c r="S38" t="s">
        <v>0</v>
      </c>
    </row>
    <row r="39" spans="1:19" x14ac:dyDescent="0.2">
      <c r="A39">
        <v>461910966</v>
      </c>
      <c r="B39">
        <v>31</v>
      </c>
      <c r="C39" t="s">
        <v>12</v>
      </c>
      <c r="D39" t="s">
        <v>123</v>
      </c>
      <c r="E39" t="s">
        <v>4</v>
      </c>
      <c r="F39" t="s">
        <v>3</v>
      </c>
      <c r="I39" t="s">
        <v>122</v>
      </c>
      <c r="Q39" t="s">
        <v>121</v>
      </c>
      <c r="S39" t="s">
        <v>0</v>
      </c>
    </row>
    <row r="40" spans="1:19" x14ac:dyDescent="0.2">
      <c r="A40">
        <v>476910620</v>
      </c>
      <c r="B40">
        <v>72</v>
      </c>
      <c r="C40" t="s">
        <v>6</v>
      </c>
      <c r="D40" t="s">
        <v>120</v>
      </c>
      <c r="E40" t="s">
        <v>4</v>
      </c>
      <c r="F40" t="s">
        <v>3</v>
      </c>
      <c r="J40" t="s">
        <v>119</v>
      </c>
      <c r="O40" t="s">
        <v>118</v>
      </c>
      <c r="Q40" t="s">
        <v>117</v>
      </c>
      <c r="S40" t="s">
        <v>0</v>
      </c>
    </row>
    <row r="41" spans="1:19" x14ac:dyDescent="0.2">
      <c r="A41">
        <v>553410900</v>
      </c>
      <c r="B41">
        <v>19</v>
      </c>
      <c r="C41" t="s">
        <v>12</v>
      </c>
      <c r="D41" t="s">
        <v>116</v>
      </c>
      <c r="E41" t="s">
        <v>4</v>
      </c>
      <c r="F41" t="s">
        <v>3</v>
      </c>
      <c r="Q41" t="s">
        <v>115</v>
      </c>
      <c r="S41" t="s">
        <v>0</v>
      </c>
    </row>
    <row r="42" spans="1:19" x14ac:dyDescent="0.2">
      <c r="A42">
        <v>679310873</v>
      </c>
      <c r="B42">
        <v>13</v>
      </c>
      <c r="C42" t="s">
        <v>12</v>
      </c>
      <c r="D42" t="s">
        <v>114</v>
      </c>
      <c r="E42" t="s">
        <v>4</v>
      </c>
      <c r="F42" t="s">
        <v>3</v>
      </c>
      <c r="O42" t="s">
        <v>113</v>
      </c>
      <c r="Q42" t="s">
        <v>112</v>
      </c>
      <c r="S42" t="s">
        <v>0</v>
      </c>
    </row>
    <row r="43" spans="1:19" x14ac:dyDescent="0.2">
      <c r="A43">
        <v>726310128</v>
      </c>
      <c r="B43">
        <v>17</v>
      </c>
      <c r="C43" t="s">
        <v>6</v>
      </c>
      <c r="D43" t="s">
        <v>111</v>
      </c>
      <c r="E43" t="s">
        <v>4</v>
      </c>
      <c r="F43" t="s">
        <v>3</v>
      </c>
      <c r="O43" t="s">
        <v>110</v>
      </c>
      <c r="Q43" t="s">
        <v>109</v>
      </c>
      <c r="S43" t="s">
        <v>0</v>
      </c>
    </row>
    <row r="44" spans="1:19" x14ac:dyDescent="0.2">
      <c r="A44">
        <v>740710960</v>
      </c>
      <c r="B44">
        <v>12</v>
      </c>
      <c r="C44" t="s">
        <v>6</v>
      </c>
      <c r="D44" t="s">
        <v>108</v>
      </c>
      <c r="E44" t="s">
        <v>4</v>
      </c>
      <c r="F44" t="s">
        <v>3</v>
      </c>
      <c r="O44" t="s">
        <v>107</v>
      </c>
      <c r="Q44" t="s">
        <v>106</v>
      </c>
      <c r="S44" t="s">
        <v>0</v>
      </c>
    </row>
    <row r="45" spans="1:19" x14ac:dyDescent="0.2">
      <c r="A45">
        <v>758210667</v>
      </c>
      <c r="B45">
        <v>7</v>
      </c>
      <c r="C45" t="s">
        <v>12</v>
      </c>
      <c r="D45" t="s">
        <v>105</v>
      </c>
      <c r="E45" t="s">
        <v>4</v>
      </c>
      <c r="F45" t="s">
        <v>3</v>
      </c>
      <c r="Q45" t="s">
        <v>104</v>
      </c>
      <c r="S45" t="s">
        <v>0</v>
      </c>
    </row>
    <row r="46" spans="1:19" x14ac:dyDescent="0.2">
      <c r="A46">
        <v>772810288</v>
      </c>
      <c r="B46">
        <v>15</v>
      </c>
      <c r="C46" t="s">
        <v>12</v>
      </c>
      <c r="D46" t="s">
        <v>103</v>
      </c>
      <c r="E46" t="s">
        <v>4</v>
      </c>
      <c r="F46" t="s">
        <v>3</v>
      </c>
      <c r="Q46" t="s">
        <v>102</v>
      </c>
      <c r="S46" t="s">
        <v>0</v>
      </c>
    </row>
    <row r="47" spans="1:19" x14ac:dyDescent="0.2">
      <c r="A47">
        <v>795410971</v>
      </c>
      <c r="B47">
        <v>2</v>
      </c>
      <c r="C47" t="s">
        <v>6</v>
      </c>
      <c r="D47" t="s">
        <v>101</v>
      </c>
      <c r="E47" t="s">
        <v>4</v>
      </c>
      <c r="F47" t="s">
        <v>3</v>
      </c>
      <c r="S47" t="s">
        <v>94</v>
      </c>
    </row>
    <row r="48" spans="1:19" x14ac:dyDescent="0.2">
      <c r="A48">
        <v>826210737</v>
      </c>
      <c r="B48">
        <v>3</v>
      </c>
      <c r="C48" t="s">
        <v>6</v>
      </c>
      <c r="D48" t="s">
        <v>100</v>
      </c>
      <c r="E48" t="s">
        <v>4</v>
      </c>
      <c r="F48" t="s">
        <v>3</v>
      </c>
      <c r="Q48" t="s">
        <v>99</v>
      </c>
      <c r="S48" t="s">
        <v>0</v>
      </c>
    </row>
    <row r="49" spans="1:19" x14ac:dyDescent="0.2">
      <c r="A49">
        <v>831210567</v>
      </c>
      <c r="B49">
        <v>40</v>
      </c>
      <c r="C49" t="s">
        <v>12</v>
      </c>
      <c r="D49" t="s">
        <v>98</v>
      </c>
      <c r="E49" t="s">
        <v>4</v>
      </c>
      <c r="F49" t="s">
        <v>3</v>
      </c>
      <c r="O49" t="s">
        <v>97</v>
      </c>
      <c r="Q49" t="s">
        <v>96</v>
      </c>
      <c r="S49" t="s">
        <v>0</v>
      </c>
    </row>
    <row r="50" spans="1:19" x14ac:dyDescent="0.2">
      <c r="A50">
        <v>878310732</v>
      </c>
      <c r="B50">
        <v>31</v>
      </c>
      <c r="C50" t="s">
        <v>6</v>
      </c>
      <c r="D50" t="s">
        <v>95</v>
      </c>
      <c r="E50" t="s">
        <v>4</v>
      </c>
      <c r="F50" t="s">
        <v>3</v>
      </c>
      <c r="S50" t="s">
        <v>94</v>
      </c>
    </row>
    <row r="51" spans="1:19" x14ac:dyDescent="0.2">
      <c r="A51">
        <v>880910162</v>
      </c>
      <c r="B51">
        <v>28</v>
      </c>
      <c r="C51" t="s">
        <v>12</v>
      </c>
      <c r="D51" t="s">
        <v>93</v>
      </c>
      <c r="E51" t="s">
        <v>4</v>
      </c>
      <c r="F51" t="s">
        <v>3</v>
      </c>
      <c r="Q51" t="s">
        <v>92</v>
      </c>
      <c r="S51" t="s">
        <v>0</v>
      </c>
    </row>
    <row r="52" spans="1:19" x14ac:dyDescent="0.2">
      <c r="A52">
        <v>888710791</v>
      </c>
      <c r="B52">
        <v>12</v>
      </c>
      <c r="C52" t="s">
        <v>6</v>
      </c>
      <c r="D52" t="s">
        <v>91</v>
      </c>
      <c r="E52" t="s">
        <v>4</v>
      </c>
      <c r="F52" t="s">
        <v>3</v>
      </c>
      <c r="Q52" t="s">
        <v>90</v>
      </c>
      <c r="S52" t="s">
        <v>0</v>
      </c>
    </row>
    <row r="53" spans="1:19" x14ac:dyDescent="0.2">
      <c r="A53">
        <v>932610840</v>
      </c>
      <c r="B53">
        <v>13</v>
      </c>
      <c r="C53" t="s">
        <v>6</v>
      </c>
      <c r="D53" t="s">
        <v>89</v>
      </c>
      <c r="E53" t="s">
        <v>4</v>
      </c>
      <c r="F53" t="s">
        <v>3</v>
      </c>
      <c r="G53" t="s">
        <v>88</v>
      </c>
      <c r="I53" t="s">
        <v>87</v>
      </c>
      <c r="Q53" t="s">
        <v>86</v>
      </c>
      <c r="S53" t="s">
        <v>0</v>
      </c>
    </row>
    <row r="54" spans="1:19" x14ac:dyDescent="0.2">
      <c r="A54">
        <v>954410764</v>
      </c>
      <c r="B54">
        <v>19</v>
      </c>
      <c r="C54" t="s">
        <v>6</v>
      </c>
      <c r="D54" t="s">
        <v>85</v>
      </c>
      <c r="E54" t="s">
        <v>4</v>
      </c>
      <c r="F54" t="s">
        <v>3</v>
      </c>
      <c r="Q54" t="s">
        <v>84</v>
      </c>
      <c r="S54" t="s">
        <v>0</v>
      </c>
    </row>
    <row r="55" spans="1:19" x14ac:dyDescent="0.2">
      <c r="A55">
        <v>959010761</v>
      </c>
      <c r="B55">
        <v>9</v>
      </c>
      <c r="C55" t="s">
        <v>6</v>
      </c>
      <c r="D55" t="s">
        <v>83</v>
      </c>
      <c r="E55" t="s">
        <v>4</v>
      </c>
      <c r="F55" t="s">
        <v>3</v>
      </c>
      <c r="O55" t="s">
        <v>82</v>
      </c>
      <c r="Q55" t="s">
        <v>81</v>
      </c>
      <c r="S55" t="s">
        <v>0</v>
      </c>
    </row>
    <row r="56" spans="1:19" x14ac:dyDescent="0.2">
      <c r="A56">
        <v>1026210195</v>
      </c>
      <c r="B56">
        <v>37</v>
      </c>
      <c r="C56" t="s">
        <v>12</v>
      </c>
      <c r="D56" t="s">
        <v>80</v>
      </c>
      <c r="E56" t="s">
        <v>4</v>
      </c>
      <c r="F56" t="s">
        <v>3</v>
      </c>
      <c r="O56" t="s">
        <v>79</v>
      </c>
      <c r="Q56" t="s">
        <v>78</v>
      </c>
      <c r="S56" t="s">
        <v>0</v>
      </c>
    </row>
    <row r="57" spans="1:19" x14ac:dyDescent="0.2">
      <c r="A57">
        <v>1084310679</v>
      </c>
      <c r="B57">
        <v>14</v>
      </c>
      <c r="C57" t="s">
        <v>12</v>
      </c>
      <c r="D57" t="s">
        <v>77</v>
      </c>
      <c r="E57" t="s">
        <v>4</v>
      </c>
      <c r="F57" t="s">
        <v>3</v>
      </c>
      <c r="Q57" t="s">
        <v>76</v>
      </c>
      <c r="S57" t="s">
        <v>0</v>
      </c>
    </row>
    <row r="58" spans="1:19" x14ac:dyDescent="0.2">
      <c r="A58">
        <v>1086910999</v>
      </c>
      <c r="B58">
        <v>27</v>
      </c>
      <c r="C58" t="s">
        <v>12</v>
      </c>
      <c r="D58" t="s">
        <v>75</v>
      </c>
      <c r="E58" t="s">
        <v>4</v>
      </c>
      <c r="F58" t="s">
        <v>3</v>
      </c>
      <c r="Q58" t="s">
        <v>74</v>
      </c>
      <c r="S58" t="s">
        <v>0</v>
      </c>
    </row>
    <row r="59" spans="1:19" x14ac:dyDescent="0.2">
      <c r="A59">
        <v>1112310707</v>
      </c>
      <c r="B59">
        <v>17</v>
      </c>
      <c r="C59" t="s">
        <v>12</v>
      </c>
      <c r="D59" t="s">
        <v>73</v>
      </c>
      <c r="E59" t="s">
        <v>4</v>
      </c>
      <c r="F59" t="s">
        <v>3</v>
      </c>
      <c r="O59" t="s">
        <v>72</v>
      </c>
      <c r="Q59" t="s">
        <v>71</v>
      </c>
      <c r="S59" t="s">
        <v>0</v>
      </c>
    </row>
    <row r="60" spans="1:19" x14ac:dyDescent="0.2">
      <c r="A60">
        <v>1146710626</v>
      </c>
      <c r="B60">
        <v>9</v>
      </c>
      <c r="C60" t="s">
        <v>12</v>
      </c>
      <c r="D60" t="s">
        <v>70</v>
      </c>
      <c r="E60" t="s">
        <v>4</v>
      </c>
      <c r="F60" t="s">
        <v>3</v>
      </c>
      <c r="Q60" t="s">
        <v>69</v>
      </c>
      <c r="S60" t="s">
        <v>0</v>
      </c>
    </row>
    <row r="61" spans="1:19" x14ac:dyDescent="0.2">
      <c r="A61">
        <v>1244410740</v>
      </c>
      <c r="B61">
        <v>12</v>
      </c>
      <c r="C61" t="s">
        <v>6</v>
      </c>
      <c r="D61" t="s">
        <v>68</v>
      </c>
      <c r="E61" t="s">
        <v>4</v>
      </c>
      <c r="F61" t="s">
        <v>3</v>
      </c>
      <c r="Q61" t="s">
        <v>67</v>
      </c>
      <c r="S61" t="s">
        <v>0</v>
      </c>
    </row>
    <row r="62" spans="1:19" x14ac:dyDescent="0.2">
      <c r="A62">
        <v>1292410740</v>
      </c>
      <c r="B62">
        <v>29</v>
      </c>
      <c r="C62" t="s">
        <v>12</v>
      </c>
      <c r="D62" t="s">
        <v>66</v>
      </c>
      <c r="E62" t="s">
        <v>4</v>
      </c>
      <c r="F62" t="s">
        <v>3</v>
      </c>
      <c r="O62" t="s">
        <v>65</v>
      </c>
      <c r="Q62" t="s">
        <v>64</v>
      </c>
      <c r="S62" t="s">
        <v>0</v>
      </c>
    </row>
    <row r="63" spans="1:19" x14ac:dyDescent="0.2">
      <c r="A63">
        <v>1344710011</v>
      </c>
      <c r="B63">
        <v>4</v>
      </c>
      <c r="C63" t="s">
        <v>6</v>
      </c>
      <c r="D63" t="s">
        <v>63</v>
      </c>
      <c r="E63" t="s">
        <v>4</v>
      </c>
      <c r="F63" t="s">
        <v>3</v>
      </c>
      <c r="O63" t="s">
        <v>62</v>
      </c>
      <c r="Q63" t="s">
        <v>61</v>
      </c>
      <c r="S63" t="s">
        <v>0</v>
      </c>
    </row>
    <row r="64" spans="1:19" x14ac:dyDescent="0.2">
      <c r="A64">
        <v>1419010939</v>
      </c>
      <c r="B64">
        <v>16</v>
      </c>
      <c r="C64" t="s">
        <v>6</v>
      </c>
      <c r="D64" t="s">
        <v>60</v>
      </c>
      <c r="E64" t="s">
        <v>4</v>
      </c>
      <c r="F64" t="s">
        <v>3</v>
      </c>
      <c r="H64" t="s">
        <v>59</v>
      </c>
      <c r="Q64" t="s">
        <v>58</v>
      </c>
      <c r="S64" t="s">
        <v>38</v>
      </c>
    </row>
    <row r="65" spans="1:19" x14ac:dyDescent="0.2">
      <c r="A65">
        <v>1591110113</v>
      </c>
      <c r="B65">
        <v>3</v>
      </c>
      <c r="C65" t="s">
        <v>6</v>
      </c>
      <c r="D65" t="s">
        <v>57</v>
      </c>
      <c r="E65" t="s">
        <v>4</v>
      </c>
      <c r="F65" t="s">
        <v>3</v>
      </c>
      <c r="Q65" t="s">
        <v>56</v>
      </c>
      <c r="S65" t="s">
        <v>0</v>
      </c>
    </row>
    <row r="66" spans="1:19" x14ac:dyDescent="0.2">
      <c r="A66">
        <v>1654310321</v>
      </c>
      <c r="B66">
        <v>15</v>
      </c>
      <c r="C66" t="s">
        <v>12</v>
      </c>
      <c r="D66" t="s">
        <v>55</v>
      </c>
      <c r="E66" t="s">
        <v>4</v>
      </c>
      <c r="F66" t="s">
        <v>3</v>
      </c>
      <c r="O66" t="s">
        <v>54</v>
      </c>
      <c r="Q66" t="s">
        <v>53</v>
      </c>
      <c r="S66" t="s">
        <v>0</v>
      </c>
    </row>
    <row r="67" spans="1:19" x14ac:dyDescent="0.2">
      <c r="A67">
        <v>1697510114</v>
      </c>
      <c r="B67">
        <v>10</v>
      </c>
      <c r="C67" t="s">
        <v>12</v>
      </c>
      <c r="D67" t="s">
        <v>52</v>
      </c>
      <c r="E67" t="s">
        <v>4</v>
      </c>
      <c r="F67" t="s">
        <v>3</v>
      </c>
      <c r="Q67" t="s">
        <v>51</v>
      </c>
      <c r="S67" t="s">
        <v>0</v>
      </c>
    </row>
    <row r="68" spans="1:19" x14ac:dyDescent="0.2">
      <c r="A68">
        <v>1721910713</v>
      </c>
      <c r="B68">
        <v>12</v>
      </c>
      <c r="C68" t="s">
        <v>6</v>
      </c>
      <c r="D68" t="s">
        <v>50</v>
      </c>
      <c r="E68" t="s">
        <v>4</v>
      </c>
      <c r="F68" t="s">
        <v>3</v>
      </c>
      <c r="O68" t="s">
        <v>49</v>
      </c>
      <c r="Q68" t="s">
        <v>48</v>
      </c>
      <c r="S68" t="s">
        <v>0</v>
      </c>
    </row>
    <row r="69" spans="1:19" x14ac:dyDescent="0.2">
      <c r="A69">
        <v>1833510766</v>
      </c>
      <c r="B69">
        <v>4</v>
      </c>
      <c r="C69" t="s">
        <v>6</v>
      </c>
      <c r="D69" t="s">
        <v>47</v>
      </c>
      <c r="E69" t="s">
        <v>4</v>
      </c>
      <c r="F69" t="s">
        <v>3</v>
      </c>
      <c r="O69" t="s">
        <v>46</v>
      </c>
      <c r="Q69" t="s">
        <v>45</v>
      </c>
      <c r="S69" t="s">
        <v>0</v>
      </c>
    </row>
    <row r="70" spans="1:19" x14ac:dyDescent="0.2">
      <c r="A70">
        <v>1837010125</v>
      </c>
      <c r="B70">
        <v>12</v>
      </c>
      <c r="C70" t="s">
        <v>6</v>
      </c>
      <c r="D70" t="s">
        <v>44</v>
      </c>
      <c r="E70" t="s">
        <v>4</v>
      </c>
      <c r="F70" t="s">
        <v>3</v>
      </c>
      <c r="O70" t="s">
        <v>43</v>
      </c>
      <c r="Q70" t="s">
        <v>42</v>
      </c>
      <c r="S70" t="s">
        <v>0</v>
      </c>
    </row>
    <row r="71" spans="1:19" x14ac:dyDescent="0.2">
      <c r="A71">
        <v>1865510448</v>
      </c>
      <c r="B71">
        <v>13</v>
      </c>
      <c r="C71" t="s">
        <v>12</v>
      </c>
      <c r="D71" t="s">
        <v>41</v>
      </c>
      <c r="E71" t="s">
        <v>4</v>
      </c>
      <c r="F71" t="s">
        <v>3</v>
      </c>
      <c r="H71" t="s">
        <v>40</v>
      </c>
      <c r="Q71" t="s">
        <v>39</v>
      </c>
      <c r="S71" t="s">
        <v>38</v>
      </c>
    </row>
    <row r="72" spans="1:19" x14ac:dyDescent="0.2">
      <c r="A72">
        <v>2000210593</v>
      </c>
      <c r="B72">
        <v>7</v>
      </c>
      <c r="C72" t="s">
        <v>12</v>
      </c>
      <c r="D72" t="s">
        <v>37</v>
      </c>
      <c r="E72" t="s">
        <v>4</v>
      </c>
      <c r="F72" t="s">
        <v>3</v>
      </c>
      <c r="Q72" t="s">
        <v>36</v>
      </c>
      <c r="S72" t="s">
        <v>0</v>
      </c>
    </row>
    <row r="73" spans="1:19" x14ac:dyDescent="0.2">
      <c r="A73">
        <v>2062710552</v>
      </c>
      <c r="B73">
        <v>19</v>
      </c>
      <c r="C73" t="s">
        <v>12</v>
      </c>
      <c r="D73" t="s">
        <v>35</v>
      </c>
      <c r="E73" t="s">
        <v>4</v>
      </c>
      <c r="F73" t="s">
        <v>3</v>
      </c>
      <c r="O73" t="s">
        <v>34</v>
      </c>
      <c r="Q73" t="s">
        <v>33</v>
      </c>
      <c r="S73" t="s">
        <v>0</v>
      </c>
    </row>
    <row r="74" spans="1:19" x14ac:dyDescent="0.2">
      <c r="A74">
        <v>2072410974</v>
      </c>
      <c r="B74">
        <v>17</v>
      </c>
      <c r="C74" t="s">
        <v>12</v>
      </c>
      <c r="D74" t="s">
        <v>32</v>
      </c>
      <c r="E74" t="s">
        <v>4</v>
      </c>
      <c r="F74" t="s">
        <v>3</v>
      </c>
      <c r="O74" t="s">
        <v>31</v>
      </c>
      <c r="Q74" t="s">
        <v>30</v>
      </c>
      <c r="S74" t="s">
        <v>0</v>
      </c>
    </row>
    <row r="75" spans="1:19" x14ac:dyDescent="0.2">
      <c r="A75">
        <v>2196210387</v>
      </c>
      <c r="B75">
        <v>6</v>
      </c>
      <c r="C75" t="s">
        <v>12</v>
      </c>
      <c r="D75" t="s">
        <v>29</v>
      </c>
      <c r="E75" t="s">
        <v>4</v>
      </c>
      <c r="F75" t="s">
        <v>3</v>
      </c>
      <c r="Q75" t="s">
        <v>28</v>
      </c>
      <c r="S75" t="s">
        <v>0</v>
      </c>
    </row>
    <row r="76" spans="1:19" x14ac:dyDescent="0.2">
      <c r="A76">
        <v>2220510348</v>
      </c>
      <c r="B76">
        <v>19</v>
      </c>
      <c r="C76" t="s">
        <v>12</v>
      </c>
      <c r="D76" t="s">
        <v>27</v>
      </c>
      <c r="E76" t="s">
        <v>4</v>
      </c>
      <c r="F76" t="s">
        <v>3</v>
      </c>
      <c r="Q76" t="s">
        <v>26</v>
      </c>
      <c r="S76" t="s">
        <v>0</v>
      </c>
    </row>
    <row r="77" spans="1:19" x14ac:dyDescent="0.2">
      <c r="A77">
        <v>2353710622</v>
      </c>
      <c r="B77">
        <v>16</v>
      </c>
      <c r="C77" t="s">
        <v>6</v>
      </c>
      <c r="D77" t="s">
        <v>25</v>
      </c>
      <c r="E77" t="s">
        <v>4</v>
      </c>
      <c r="F77" t="s">
        <v>3</v>
      </c>
      <c r="G77" t="s">
        <v>24</v>
      </c>
      <c r="O77" t="s">
        <v>23</v>
      </c>
      <c r="Q77" t="s">
        <v>22</v>
      </c>
      <c r="S77" t="s">
        <v>0</v>
      </c>
    </row>
    <row r="78" spans="1:19" x14ac:dyDescent="0.2">
      <c r="A78">
        <v>2459710934</v>
      </c>
      <c r="B78">
        <v>3</v>
      </c>
      <c r="C78" t="s">
        <v>12</v>
      </c>
      <c r="D78" t="s">
        <v>21</v>
      </c>
      <c r="E78" t="s">
        <v>4</v>
      </c>
      <c r="F78" t="s">
        <v>3</v>
      </c>
      <c r="Q78" t="s">
        <v>20</v>
      </c>
      <c r="S78" t="s">
        <v>0</v>
      </c>
    </row>
    <row r="79" spans="1:19" x14ac:dyDescent="0.2">
      <c r="A79">
        <v>2625910670</v>
      </c>
      <c r="B79">
        <v>13</v>
      </c>
      <c r="C79" t="s">
        <v>6</v>
      </c>
      <c r="D79" t="s">
        <v>19</v>
      </c>
      <c r="E79" t="s">
        <v>4</v>
      </c>
      <c r="F79" t="s">
        <v>3</v>
      </c>
      <c r="O79" t="s">
        <v>18</v>
      </c>
      <c r="Q79" t="s">
        <v>17</v>
      </c>
      <c r="S79" t="s">
        <v>0</v>
      </c>
    </row>
    <row r="80" spans="1:19" x14ac:dyDescent="0.2">
      <c r="A80">
        <v>2850010979</v>
      </c>
      <c r="B80">
        <v>2</v>
      </c>
      <c r="C80" t="s">
        <v>12</v>
      </c>
      <c r="D80" t="s">
        <v>16</v>
      </c>
      <c r="E80" t="s">
        <v>4</v>
      </c>
      <c r="F80" t="s">
        <v>3</v>
      </c>
      <c r="Q80" t="s">
        <v>15</v>
      </c>
      <c r="S80" t="s">
        <v>0</v>
      </c>
    </row>
    <row r="81" spans="1:19" x14ac:dyDescent="0.2">
      <c r="A81">
        <v>2990210861</v>
      </c>
      <c r="B81">
        <v>1</v>
      </c>
      <c r="C81" t="s">
        <v>12</v>
      </c>
      <c r="D81" t="s">
        <v>14</v>
      </c>
      <c r="E81" t="s">
        <v>4</v>
      </c>
      <c r="F81" t="s">
        <v>3</v>
      </c>
      <c r="Q81" t="s">
        <v>13</v>
      </c>
      <c r="S81" t="s">
        <v>0</v>
      </c>
    </row>
    <row r="82" spans="1:19" x14ac:dyDescent="0.2">
      <c r="A82">
        <v>3525210465</v>
      </c>
      <c r="B82">
        <v>53</v>
      </c>
      <c r="C82" t="s">
        <v>12</v>
      </c>
      <c r="D82" t="s">
        <v>11</v>
      </c>
      <c r="E82" t="s">
        <v>4</v>
      </c>
      <c r="F82" t="s">
        <v>3</v>
      </c>
      <c r="O82" t="s">
        <v>10</v>
      </c>
      <c r="Q82" t="s">
        <v>9</v>
      </c>
      <c r="S82" t="s">
        <v>0</v>
      </c>
    </row>
    <row r="83" spans="1:19" x14ac:dyDescent="0.2">
      <c r="A83">
        <v>3782210815</v>
      </c>
      <c r="B83">
        <v>43</v>
      </c>
      <c r="C83" t="s">
        <v>6</v>
      </c>
      <c r="D83" t="s">
        <v>8</v>
      </c>
      <c r="E83" t="s">
        <v>4</v>
      </c>
      <c r="F83" t="s">
        <v>3</v>
      </c>
      <c r="Q83" t="s">
        <v>7</v>
      </c>
      <c r="S83" t="s">
        <v>0</v>
      </c>
    </row>
    <row r="84" spans="1:19" x14ac:dyDescent="0.2">
      <c r="A84">
        <v>4946010229</v>
      </c>
      <c r="B84">
        <v>5</v>
      </c>
      <c r="C84" t="s">
        <v>6</v>
      </c>
      <c r="D84" t="s">
        <v>5</v>
      </c>
      <c r="E84" t="s">
        <v>4</v>
      </c>
      <c r="F84" t="s">
        <v>3</v>
      </c>
      <c r="O84" t="s">
        <v>2</v>
      </c>
      <c r="Q84" t="s">
        <v>1</v>
      </c>
      <c r="S84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B25-F23F-0244-A248-80EDBCBFB02C}">
  <dimension ref="A1:B5"/>
  <sheetViews>
    <sheetView workbookViewId="0"/>
  </sheetViews>
  <sheetFormatPr baseColWidth="10" defaultRowHeight="16" x14ac:dyDescent="0.2"/>
  <cols>
    <col min="1" max="1" width="13" bestFit="1" customWidth="1"/>
    <col min="2" max="2" width="12.5" bestFit="1" customWidth="1"/>
  </cols>
  <sheetData>
    <row r="1" spans="1:2" x14ac:dyDescent="0.2">
      <c r="A1" s="1" t="s">
        <v>321</v>
      </c>
      <c r="B1" t="s">
        <v>323</v>
      </c>
    </row>
    <row r="2" spans="1:2" x14ac:dyDescent="0.2">
      <c r="A2" s="2" t="s">
        <v>38</v>
      </c>
      <c r="B2">
        <v>2</v>
      </c>
    </row>
    <row r="3" spans="1:2" x14ac:dyDescent="0.2">
      <c r="A3" s="2" t="s">
        <v>94</v>
      </c>
      <c r="B3">
        <v>5</v>
      </c>
    </row>
    <row r="4" spans="1:2" x14ac:dyDescent="0.2">
      <c r="A4" s="2" t="s">
        <v>0</v>
      </c>
      <c r="B4">
        <v>76</v>
      </c>
    </row>
    <row r="5" spans="1:2" x14ac:dyDescent="0.2">
      <c r="A5" s="2" t="s">
        <v>322</v>
      </c>
      <c r="B5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1EC9-71C4-C746-9030-455F7BDDDD13}">
  <dimension ref="A1:S84"/>
  <sheetViews>
    <sheetView workbookViewId="0"/>
  </sheetViews>
  <sheetFormatPr baseColWidth="10" defaultRowHeight="16" x14ac:dyDescent="0.2"/>
  <sheetData>
    <row r="1" spans="1:19" x14ac:dyDescent="0.2">
      <c r="A1" t="s">
        <v>259</v>
      </c>
      <c r="B1" t="s">
        <v>258</v>
      </c>
      <c r="C1" t="s">
        <v>257</v>
      </c>
      <c r="D1" t="s">
        <v>256</v>
      </c>
      <c r="E1" t="s">
        <v>255</v>
      </c>
      <c r="F1" t="s">
        <v>254</v>
      </c>
      <c r="G1" t="s">
        <v>253</v>
      </c>
      <c r="H1" t="s">
        <v>252</v>
      </c>
      <c r="I1" t="s">
        <v>251</v>
      </c>
      <c r="J1" t="s">
        <v>250</v>
      </c>
      <c r="K1" t="s">
        <v>249</v>
      </c>
      <c r="L1" t="s">
        <v>248</v>
      </c>
      <c r="M1" t="s">
        <v>247</v>
      </c>
      <c r="N1" t="s">
        <v>246</v>
      </c>
      <c r="O1" t="s">
        <v>245</v>
      </c>
      <c r="P1" t="s">
        <v>244</v>
      </c>
      <c r="Q1" t="s">
        <v>243</v>
      </c>
      <c r="R1" t="s">
        <v>242</v>
      </c>
      <c r="S1" t="s">
        <v>260</v>
      </c>
    </row>
    <row r="2" spans="1:19" x14ac:dyDescent="0.2">
      <c r="A2">
        <v>643110884</v>
      </c>
      <c r="B2">
        <v>50</v>
      </c>
      <c r="C2" t="s">
        <v>12</v>
      </c>
      <c r="D2" t="s">
        <v>240</v>
      </c>
      <c r="E2" t="s">
        <v>4</v>
      </c>
      <c r="F2" t="s">
        <v>239</v>
      </c>
      <c r="O2" t="s">
        <v>238</v>
      </c>
      <c r="Q2" t="s">
        <v>237</v>
      </c>
      <c r="S2" t="s">
        <v>0</v>
      </c>
    </row>
    <row r="3" spans="1:19" x14ac:dyDescent="0.2">
      <c r="A3">
        <v>706710306</v>
      </c>
      <c r="B3">
        <v>48</v>
      </c>
      <c r="C3" t="s">
        <v>12</v>
      </c>
      <c r="D3" t="s">
        <v>236</v>
      </c>
      <c r="E3" t="s">
        <v>4</v>
      </c>
      <c r="F3" t="s">
        <v>235</v>
      </c>
      <c r="O3" t="s">
        <v>234</v>
      </c>
      <c r="Q3" t="s">
        <v>233</v>
      </c>
      <c r="S3" t="s">
        <v>38</v>
      </c>
    </row>
    <row r="4" spans="1:19" x14ac:dyDescent="0.2">
      <c r="A4">
        <v>384210994</v>
      </c>
      <c r="B4">
        <v>30</v>
      </c>
      <c r="C4" t="s">
        <v>12</v>
      </c>
      <c r="D4" t="s">
        <v>232</v>
      </c>
      <c r="E4" t="s">
        <v>4</v>
      </c>
      <c r="F4" t="s">
        <v>231</v>
      </c>
      <c r="Q4" t="s">
        <v>230</v>
      </c>
      <c r="S4" t="s">
        <v>0</v>
      </c>
    </row>
    <row r="5" spans="1:19" x14ac:dyDescent="0.2">
      <c r="A5">
        <v>1502010397</v>
      </c>
      <c r="B5">
        <v>15</v>
      </c>
      <c r="C5" t="s">
        <v>12</v>
      </c>
      <c r="D5" t="s">
        <v>229</v>
      </c>
      <c r="E5" t="s">
        <v>4</v>
      </c>
      <c r="F5" t="s">
        <v>228</v>
      </c>
      <c r="O5" t="s">
        <v>227</v>
      </c>
      <c r="Q5" t="s">
        <v>226</v>
      </c>
      <c r="S5" t="s">
        <v>0</v>
      </c>
    </row>
    <row r="6" spans="1:19" x14ac:dyDescent="0.2">
      <c r="A6">
        <v>503810366</v>
      </c>
      <c r="B6">
        <v>72</v>
      </c>
      <c r="C6" t="s">
        <v>12</v>
      </c>
      <c r="D6" t="s">
        <v>225</v>
      </c>
      <c r="E6" t="s">
        <v>4</v>
      </c>
      <c r="F6" t="s">
        <v>220</v>
      </c>
      <c r="I6" t="s">
        <v>224</v>
      </c>
      <c r="O6" t="s">
        <v>223</v>
      </c>
      <c r="Q6" t="s">
        <v>222</v>
      </c>
      <c r="S6" t="s">
        <v>0</v>
      </c>
    </row>
    <row r="7" spans="1:19" x14ac:dyDescent="0.2">
      <c r="A7">
        <v>5282710166</v>
      </c>
      <c r="B7">
        <v>22</v>
      </c>
      <c r="C7" t="s">
        <v>12</v>
      </c>
      <c r="D7" t="s">
        <v>221</v>
      </c>
      <c r="E7" t="s">
        <v>4</v>
      </c>
      <c r="F7" t="s">
        <v>220</v>
      </c>
      <c r="O7" t="s">
        <v>219</v>
      </c>
      <c r="Q7" t="s">
        <v>218</v>
      </c>
      <c r="S7" t="s">
        <v>38</v>
      </c>
    </row>
    <row r="8" spans="1:19" x14ac:dyDescent="0.2">
      <c r="A8">
        <v>153910595</v>
      </c>
      <c r="B8">
        <v>60</v>
      </c>
      <c r="C8" t="s">
        <v>12</v>
      </c>
      <c r="D8" t="s">
        <v>217</v>
      </c>
      <c r="E8" t="s">
        <v>4</v>
      </c>
      <c r="F8" t="s">
        <v>216</v>
      </c>
      <c r="O8" t="s">
        <v>215</v>
      </c>
      <c r="S8" t="s">
        <v>94</v>
      </c>
    </row>
    <row r="9" spans="1:19" x14ac:dyDescent="0.2">
      <c r="A9">
        <v>239110163</v>
      </c>
      <c r="B9">
        <v>11</v>
      </c>
      <c r="C9" t="s">
        <v>6</v>
      </c>
      <c r="D9" t="s">
        <v>214</v>
      </c>
      <c r="E9" t="s">
        <v>4</v>
      </c>
      <c r="F9" t="s">
        <v>192</v>
      </c>
      <c r="O9" t="s">
        <v>213</v>
      </c>
      <c r="Q9" t="s">
        <v>212</v>
      </c>
      <c r="S9" t="s">
        <v>38</v>
      </c>
    </row>
    <row r="10" spans="1:19" x14ac:dyDescent="0.2">
      <c r="A10">
        <v>258510963</v>
      </c>
      <c r="B10">
        <v>48</v>
      </c>
      <c r="C10" t="s">
        <v>12</v>
      </c>
      <c r="D10" t="s">
        <v>211</v>
      </c>
      <c r="E10" t="s">
        <v>4</v>
      </c>
      <c r="F10" t="s">
        <v>192</v>
      </c>
      <c r="Q10" t="s">
        <v>210</v>
      </c>
      <c r="S10" t="s">
        <v>0</v>
      </c>
    </row>
    <row r="11" spans="1:19" x14ac:dyDescent="0.2">
      <c r="A11">
        <v>366910461</v>
      </c>
      <c r="B11">
        <v>15</v>
      </c>
      <c r="C11" t="s">
        <v>12</v>
      </c>
      <c r="D11" t="s">
        <v>209</v>
      </c>
      <c r="E11" t="s">
        <v>4</v>
      </c>
      <c r="F11" t="s">
        <v>192</v>
      </c>
      <c r="Q11" t="s">
        <v>208</v>
      </c>
      <c r="S11" t="s">
        <v>0</v>
      </c>
    </row>
    <row r="12" spans="1:19" x14ac:dyDescent="0.2">
      <c r="A12">
        <v>592410349</v>
      </c>
      <c r="B12">
        <v>21</v>
      </c>
      <c r="C12" t="s">
        <v>12</v>
      </c>
      <c r="D12" t="s">
        <v>207</v>
      </c>
      <c r="E12" t="s">
        <v>4</v>
      </c>
      <c r="F12" t="s">
        <v>206</v>
      </c>
      <c r="O12" t="s">
        <v>205</v>
      </c>
      <c r="Q12" t="s">
        <v>204</v>
      </c>
      <c r="S12" t="s">
        <v>0</v>
      </c>
    </row>
    <row r="13" spans="1:19" x14ac:dyDescent="0.2">
      <c r="A13">
        <v>1094310233</v>
      </c>
      <c r="B13">
        <v>4</v>
      </c>
      <c r="C13" t="s">
        <v>12</v>
      </c>
      <c r="D13" t="s">
        <v>203</v>
      </c>
      <c r="E13" t="s">
        <v>4</v>
      </c>
      <c r="F13" t="s">
        <v>192</v>
      </c>
      <c r="O13" t="s">
        <v>202</v>
      </c>
      <c r="Q13" t="s">
        <v>201</v>
      </c>
      <c r="S13" t="s">
        <v>0</v>
      </c>
    </row>
    <row r="14" spans="1:19" x14ac:dyDescent="0.2">
      <c r="A14">
        <v>1237910593</v>
      </c>
      <c r="B14">
        <v>4</v>
      </c>
      <c r="C14" t="s">
        <v>12</v>
      </c>
      <c r="D14" t="s">
        <v>200</v>
      </c>
      <c r="E14" t="s">
        <v>4</v>
      </c>
      <c r="F14" t="s">
        <v>192</v>
      </c>
      <c r="O14" t="s">
        <v>199</v>
      </c>
      <c r="Q14" t="s">
        <v>198</v>
      </c>
      <c r="S14" t="s">
        <v>38</v>
      </c>
    </row>
    <row r="15" spans="1:19" x14ac:dyDescent="0.2">
      <c r="A15">
        <v>1489110030</v>
      </c>
      <c r="B15">
        <v>60</v>
      </c>
      <c r="C15" t="s">
        <v>6</v>
      </c>
      <c r="D15" t="s">
        <v>197</v>
      </c>
      <c r="E15" t="s">
        <v>4</v>
      </c>
      <c r="F15" t="s">
        <v>192</v>
      </c>
      <c r="S15" t="s">
        <v>94</v>
      </c>
    </row>
    <row r="16" spans="1:19" x14ac:dyDescent="0.2">
      <c r="A16">
        <v>3333010111</v>
      </c>
      <c r="B16">
        <v>5</v>
      </c>
      <c r="C16" t="s">
        <v>6</v>
      </c>
      <c r="D16" t="s">
        <v>196</v>
      </c>
      <c r="E16" t="s">
        <v>4</v>
      </c>
      <c r="F16" t="s">
        <v>195</v>
      </c>
      <c r="Q16" t="s">
        <v>194</v>
      </c>
      <c r="S16" t="s">
        <v>38</v>
      </c>
    </row>
    <row r="17" spans="1:19" x14ac:dyDescent="0.2">
      <c r="A17">
        <v>4298610465</v>
      </c>
      <c r="B17">
        <v>33</v>
      </c>
      <c r="C17" t="s">
        <v>12</v>
      </c>
      <c r="D17" t="s">
        <v>193</v>
      </c>
      <c r="E17" t="s">
        <v>4</v>
      </c>
      <c r="F17" t="s">
        <v>192</v>
      </c>
      <c r="O17" t="s">
        <v>191</v>
      </c>
      <c r="Q17" t="s">
        <v>190</v>
      </c>
      <c r="S17" t="s">
        <v>38</v>
      </c>
    </row>
    <row r="18" spans="1:19" x14ac:dyDescent="0.2">
      <c r="A18">
        <v>863610325</v>
      </c>
      <c r="B18">
        <v>23</v>
      </c>
      <c r="C18" t="s">
        <v>6</v>
      </c>
      <c r="D18" t="s">
        <v>189</v>
      </c>
      <c r="E18" t="s">
        <v>4</v>
      </c>
      <c r="F18" t="s">
        <v>188</v>
      </c>
      <c r="Q18" t="s">
        <v>187</v>
      </c>
      <c r="S18" t="s">
        <v>38</v>
      </c>
    </row>
    <row r="19" spans="1:19" x14ac:dyDescent="0.2">
      <c r="A19">
        <v>3882310263</v>
      </c>
      <c r="B19">
        <v>6</v>
      </c>
      <c r="C19" t="s">
        <v>12</v>
      </c>
      <c r="D19" t="s">
        <v>186</v>
      </c>
      <c r="E19" t="s">
        <v>4</v>
      </c>
      <c r="F19" t="s">
        <v>185</v>
      </c>
      <c r="Q19" t="s">
        <v>184</v>
      </c>
      <c r="S19" t="s">
        <v>38</v>
      </c>
    </row>
    <row r="20" spans="1:19" x14ac:dyDescent="0.2">
      <c r="A20">
        <v>502810717</v>
      </c>
      <c r="B20">
        <v>35</v>
      </c>
      <c r="C20" t="s">
        <v>12</v>
      </c>
      <c r="D20" t="s">
        <v>183</v>
      </c>
      <c r="E20" t="s">
        <v>4</v>
      </c>
      <c r="F20" t="s">
        <v>177</v>
      </c>
      <c r="I20" t="s">
        <v>182</v>
      </c>
      <c r="Q20" t="s">
        <v>181</v>
      </c>
      <c r="S20" t="s">
        <v>38</v>
      </c>
    </row>
    <row r="21" spans="1:19" x14ac:dyDescent="0.2">
      <c r="A21">
        <v>811810047</v>
      </c>
      <c r="B21">
        <v>66</v>
      </c>
      <c r="C21" t="s">
        <v>12</v>
      </c>
      <c r="D21" t="s">
        <v>180</v>
      </c>
      <c r="E21" t="s">
        <v>4</v>
      </c>
      <c r="F21" t="s">
        <v>177</v>
      </c>
      <c r="Q21" t="s">
        <v>179</v>
      </c>
      <c r="S21" t="s">
        <v>38</v>
      </c>
    </row>
    <row r="22" spans="1:19" x14ac:dyDescent="0.2">
      <c r="A22">
        <v>1626210870</v>
      </c>
      <c r="B22">
        <v>4</v>
      </c>
      <c r="C22" t="s">
        <v>6</v>
      </c>
      <c r="D22" t="s">
        <v>178</v>
      </c>
      <c r="E22" t="s">
        <v>4</v>
      </c>
      <c r="F22" t="s">
        <v>177</v>
      </c>
      <c r="Q22" t="s">
        <v>176</v>
      </c>
      <c r="S22" t="s">
        <v>38</v>
      </c>
    </row>
    <row r="23" spans="1:19" x14ac:dyDescent="0.2">
      <c r="A23">
        <v>2213210607</v>
      </c>
      <c r="B23">
        <v>45</v>
      </c>
      <c r="C23" t="s">
        <v>6</v>
      </c>
      <c r="D23" t="s">
        <v>175</v>
      </c>
      <c r="E23" t="s">
        <v>4</v>
      </c>
      <c r="F23" t="s">
        <v>174</v>
      </c>
      <c r="O23" t="s">
        <v>173</v>
      </c>
      <c r="Q23" t="s">
        <v>172</v>
      </c>
      <c r="S23" t="s">
        <v>38</v>
      </c>
    </row>
    <row r="24" spans="1:19" x14ac:dyDescent="0.2">
      <c r="A24">
        <v>5494710200</v>
      </c>
      <c r="B24">
        <v>13</v>
      </c>
      <c r="C24" t="s">
        <v>12</v>
      </c>
      <c r="D24" t="s">
        <v>171</v>
      </c>
      <c r="E24" t="s">
        <v>4</v>
      </c>
      <c r="F24" t="s">
        <v>170</v>
      </c>
      <c r="Q24" t="s">
        <v>169</v>
      </c>
      <c r="S24" t="s">
        <v>38</v>
      </c>
    </row>
    <row r="25" spans="1:19" x14ac:dyDescent="0.2">
      <c r="A25">
        <v>1525510677</v>
      </c>
      <c r="B25">
        <v>36</v>
      </c>
      <c r="C25" t="s">
        <v>12</v>
      </c>
      <c r="D25" t="s">
        <v>168</v>
      </c>
      <c r="E25" t="s">
        <v>4</v>
      </c>
      <c r="F25" t="s">
        <v>167</v>
      </c>
      <c r="O25" t="s">
        <v>166</v>
      </c>
      <c r="Q25" t="s">
        <v>165</v>
      </c>
      <c r="S25" t="s">
        <v>38</v>
      </c>
    </row>
    <row r="26" spans="1:19" x14ac:dyDescent="0.2">
      <c r="A26">
        <v>3810766</v>
      </c>
      <c r="B26">
        <v>11</v>
      </c>
      <c r="C26" t="s">
        <v>12</v>
      </c>
      <c r="D26" t="s">
        <v>164</v>
      </c>
      <c r="E26" t="s">
        <v>4</v>
      </c>
      <c r="F26" t="s">
        <v>3</v>
      </c>
      <c r="O26" t="s">
        <v>163</v>
      </c>
      <c r="Q26" t="s">
        <v>162</v>
      </c>
      <c r="S26" t="s">
        <v>38</v>
      </c>
    </row>
    <row r="27" spans="1:19" x14ac:dyDescent="0.2">
      <c r="A27">
        <v>4610438</v>
      </c>
      <c r="B27">
        <v>72</v>
      </c>
      <c r="C27" t="s">
        <v>12</v>
      </c>
      <c r="D27" t="s">
        <v>161</v>
      </c>
      <c r="E27" t="s">
        <v>4</v>
      </c>
      <c r="F27" t="s">
        <v>160</v>
      </c>
      <c r="I27" t="s">
        <v>159</v>
      </c>
      <c r="O27" t="s">
        <v>158</v>
      </c>
      <c r="Q27" t="s">
        <v>157</v>
      </c>
      <c r="S27" t="s">
        <v>94</v>
      </c>
    </row>
    <row r="28" spans="1:19" x14ac:dyDescent="0.2">
      <c r="A28">
        <v>9710983</v>
      </c>
      <c r="B28">
        <v>12</v>
      </c>
      <c r="C28" t="s">
        <v>12</v>
      </c>
      <c r="D28" t="s">
        <v>156</v>
      </c>
      <c r="E28" t="s">
        <v>4</v>
      </c>
      <c r="F28" t="s">
        <v>3</v>
      </c>
      <c r="O28" t="s">
        <v>155</v>
      </c>
      <c r="Q28" t="s">
        <v>154</v>
      </c>
      <c r="S28" t="s">
        <v>38</v>
      </c>
    </row>
    <row r="29" spans="1:19" x14ac:dyDescent="0.2">
      <c r="A29">
        <v>62910668</v>
      </c>
      <c r="B29">
        <v>59</v>
      </c>
      <c r="C29" t="s">
        <v>12</v>
      </c>
      <c r="D29" t="s">
        <v>153</v>
      </c>
      <c r="E29" t="s">
        <v>4</v>
      </c>
      <c r="F29" t="s">
        <v>3</v>
      </c>
      <c r="O29" t="s">
        <v>152</v>
      </c>
      <c r="Q29" t="s">
        <v>151</v>
      </c>
      <c r="S29" t="s">
        <v>0</v>
      </c>
    </row>
    <row r="30" spans="1:19" x14ac:dyDescent="0.2">
      <c r="A30">
        <v>70210987</v>
      </c>
      <c r="B30">
        <v>75</v>
      </c>
      <c r="C30" t="s">
        <v>12</v>
      </c>
      <c r="D30" t="s">
        <v>150</v>
      </c>
      <c r="E30" t="s">
        <v>4</v>
      </c>
      <c r="F30" t="s">
        <v>3</v>
      </c>
      <c r="S30" t="s">
        <v>94</v>
      </c>
    </row>
    <row r="31" spans="1:19" x14ac:dyDescent="0.2">
      <c r="A31">
        <v>87610928</v>
      </c>
      <c r="B31">
        <v>14</v>
      </c>
      <c r="C31" t="s">
        <v>12</v>
      </c>
      <c r="D31" t="s">
        <v>149</v>
      </c>
      <c r="E31" t="s">
        <v>4</v>
      </c>
      <c r="F31" t="s">
        <v>3</v>
      </c>
      <c r="O31" t="s">
        <v>148</v>
      </c>
      <c r="Q31" t="s">
        <v>147</v>
      </c>
      <c r="S31" t="s">
        <v>38</v>
      </c>
    </row>
    <row r="32" spans="1:19" x14ac:dyDescent="0.2">
      <c r="A32">
        <v>92810885</v>
      </c>
      <c r="B32">
        <v>24</v>
      </c>
      <c r="C32" t="s">
        <v>12</v>
      </c>
      <c r="D32" t="s">
        <v>146</v>
      </c>
      <c r="E32" t="s">
        <v>4</v>
      </c>
      <c r="F32" t="s">
        <v>3</v>
      </c>
      <c r="O32" t="s">
        <v>145</v>
      </c>
      <c r="Q32" t="s">
        <v>144</v>
      </c>
      <c r="S32" t="s">
        <v>38</v>
      </c>
    </row>
    <row r="33" spans="1:19" x14ac:dyDescent="0.2">
      <c r="A33">
        <v>129310347</v>
      </c>
      <c r="B33">
        <v>30</v>
      </c>
      <c r="C33" t="s">
        <v>12</v>
      </c>
      <c r="D33" t="s">
        <v>143</v>
      </c>
      <c r="E33" t="s">
        <v>4</v>
      </c>
      <c r="F33" t="s">
        <v>3</v>
      </c>
      <c r="O33" t="s">
        <v>142</v>
      </c>
      <c r="Q33" t="s">
        <v>141</v>
      </c>
      <c r="S33" t="s">
        <v>38</v>
      </c>
    </row>
    <row r="34" spans="1:19" x14ac:dyDescent="0.2">
      <c r="A34">
        <v>214510962</v>
      </c>
      <c r="B34">
        <v>67</v>
      </c>
      <c r="C34" t="s">
        <v>6</v>
      </c>
      <c r="D34" t="s">
        <v>140</v>
      </c>
      <c r="E34" t="s">
        <v>4</v>
      </c>
      <c r="F34" t="s">
        <v>3</v>
      </c>
      <c r="I34" t="s">
        <v>139</v>
      </c>
      <c r="Q34" t="s">
        <v>138</v>
      </c>
      <c r="S34" t="s">
        <v>0</v>
      </c>
    </row>
    <row r="35" spans="1:19" x14ac:dyDescent="0.2">
      <c r="A35">
        <v>244010017</v>
      </c>
      <c r="B35">
        <v>17</v>
      </c>
      <c r="C35" t="s">
        <v>6</v>
      </c>
      <c r="D35" t="s">
        <v>137</v>
      </c>
      <c r="E35" t="s">
        <v>4</v>
      </c>
      <c r="F35" t="s">
        <v>136</v>
      </c>
      <c r="O35" t="s">
        <v>135</v>
      </c>
      <c r="Q35" t="s">
        <v>134</v>
      </c>
      <c r="S35" t="s">
        <v>0</v>
      </c>
    </row>
    <row r="36" spans="1:19" x14ac:dyDescent="0.2">
      <c r="A36">
        <v>319810053</v>
      </c>
      <c r="B36">
        <v>13</v>
      </c>
      <c r="C36" t="s">
        <v>12</v>
      </c>
      <c r="D36" t="s">
        <v>133</v>
      </c>
      <c r="E36" t="s">
        <v>4</v>
      </c>
      <c r="F36" t="s">
        <v>3</v>
      </c>
      <c r="O36" t="s">
        <v>132</v>
      </c>
      <c r="Q36" t="s">
        <v>131</v>
      </c>
      <c r="S36" t="s">
        <v>38</v>
      </c>
    </row>
    <row r="37" spans="1:19" x14ac:dyDescent="0.2">
      <c r="A37">
        <v>358110249</v>
      </c>
      <c r="B37">
        <v>40</v>
      </c>
      <c r="C37" t="s">
        <v>12</v>
      </c>
      <c r="D37" t="s">
        <v>130</v>
      </c>
      <c r="E37" t="s">
        <v>4</v>
      </c>
      <c r="F37" t="s">
        <v>3</v>
      </c>
      <c r="I37" t="s">
        <v>129</v>
      </c>
      <c r="O37" t="s">
        <v>128</v>
      </c>
      <c r="P37" t="s">
        <v>127</v>
      </c>
      <c r="Q37" t="s">
        <v>126</v>
      </c>
      <c r="S37" t="s">
        <v>38</v>
      </c>
    </row>
    <row r="38" spans="1:19" x14ac:dyDescent="0.2">
      <c r="A38">
        <v>401410971</v>
      </c>
      <c r="B38">
        <v>19</v>
      </c>
      <c r="C38" t="s">
        <v>6</v>
      </c>
      <c r="D38" t="s">
        <v>125</v>
      </c>
      <c r="E38" t="s">
        <v>4</v>
      </c>
      <c r="F38" t="s">
        <v>3</v>
      </c>
      <c r="Q38" t="s">
        <v>124</v>
      </c>
      <c r="S38" t="s">
        <v>0</v>
      </c>
    </row>
    <row r="39" spans="1:19" x14ac:dyDescent="0.2">
      <c r="A39">
        <v>461910966</v>
      </c>
      <c r="B39">
        <v>31</v>
      </c>
      <c r="C39" t="s">
        <v>12</v>
      </c>
      <c r="D39" t="s">
        <v>123</v>
      </c>
      <c r="E39" t="s">
        <v>4</v>
      </c>
      <c r="F39" t="s">
        <v>3</v>
      </c>
      <c r="I39" t="s">
        <v>122</v>
      </c>
      <c r="Q39" t="s">
        <v>121</v>
      </c>
      <c r="S39" t="s">
        <v>0</v>
      </c>
    </row>
    <row r="40" spans="1:19" x14ac:dyDescent="0.2">
      <c r="A40">
        <v>476910620</v>
      </c>
      <c r="B40">
        <v>72</v>
      </c>
      <c r="C40" t="s">
        <v>6</v>
      </c>
      <c r="D40" t="s">
        <v>120</v>
      </c>
      <c r="E40" t="s">
        <v>4</v>
      </c>
      <c r="F40" t="s">
        <v>3</v>
      </c>
      <c r="J40" t="s">
        <v>119</v>
      </c>
      <c r="O40" t="s">
        <v>118</v>
      </c>
      <c r="Q40" t="s">
        <v>117</v>
      </c>
      <c r="S40" t="s">
        <v>0</v>
      </c>
    </row>
    <row r="41" spans="1:19" x14ac:dyDescent="0.2">
      <c r="A41">
        <v>553410900</v>
      </c>
      <c r="B41">
        <v>19</v>
      </c>
      <c r="C41" t="s">
        <v>12</v>
      </c>
      <c r="D41" t="s">
        <v>116</v>
      </c>
      <c r="E41" t="s">
        <v>4</v>
      </c>
      <c r="F41" t="s">
        <v>3</v>
      </c>
      <c r="Q41" t="s">
        <v>115</v>
      </c>
      <c r="S41" t="s">
        <v>0</v>
      </c>
    </row>
    <row r="42" spans="1:19" x14ac:dyDescent="0.2">
      <c r="A42">
        <v>679310873</v>
      </c>
      <c r="B42">
        <v>13</v>
      </c>
      <c r="C42" t="s">
        <v>12</v>
      </c>
      <c r="D42" t="s">
        <v>114</v>
      </c>
      <c r="E42" t="s">
        <v>4</v>
      </c>
      <c r="F42" t="s">
        <v>3</v>
      </c>
      <c r="O42" t="s">
        <v>113</v>
      </c>
      <c r="Q42" t="s">
        <v>112</v>
      </c>
      <c r="S42" t="s">
        <v>38</v>
      </c>
    </row>
    <row r="43" spans="1:19" x14ac:dyDescent="0.2">
      <c r="A43">
        <v>726310128</v>
      </c>
      <c r="B43">
        <v>17</v>
      </c>
      <c r="C43" t="s">
        <v>6</v>
      </c>
      <c r="D43" t="s">
        <v>111</v>
      </c>
      <c r="E43" t="s">
        <v>4</v>
      </c>
      <c r="F43" t="s">
        <v>3</v>
      </c>
      <c r="O43" t="s">
        <v>110</v>
      </c>
      <c r="Q43" t="s">
        <v>109</v>
      </c>
      <c r="S43" t="s">
        <v>0</v>
      </c>
    </row>
    <row r="44" spans="1:19" x14ac:dyDescent="0.2">
      <c r="A44">
        <v>740710960</v>
      </c>
      <c r="B44">
        <v>12</v>
      </c>
      <c r="C44" t="s">
        <v>6</v>
      </c>
      <c r="D44" t="s">
        <v>108</v>
      </c>
      <c r="E44" t="s">
        <v>4</v>
      </c>
      <c r="F44" t="s">
        <v>3</v>
      </c>
      <c r="O44" t="s">
        <v>107</v>
      </c>
      <c r="Q44" t="s">
        <v>106</v>
      </c>
      <c r="S44" t="s">
        <v>38</v>
      </c>
    </row>
    <row r="45" spans="1:19" x14ac:dyDescent="0.2">
      <c r="A45">
        <v>758210667</v>
      </c>
      <c r="B45">
        <v>7</v>
      </c>
      <c r="C45" t="s">
        <v>12</v>
      </c>
      <c r="D45" t="s">
        <v>105</v>
      </c>
      <c r="E45" t="s">
        <v>4</v>
      </c>
      <c r="F45" t="s">
        <v>3</v>
      </c>
      <c r="Q45" t="s">
        <v>104</v>
      </c>
      <c r="S45" t="s">
        <v>0</v>
      </c>
    </row>
    <row r="46" spans="1:19" x14ac:dyDescent="0.2">
      <c r="A46">
        <v>772810288</v>
      </c>
      <c r="B46">
        <v>15</v>
      </c>
      <c r="C46" t="s">
        <v>12</v>
      </c>
      <c r="D46" t="s">
        <v>103</v>
      </c>
      <c r="E46" t="s">
        <v>4</v>
      </c>
      <c r="F46" t="s">
        <v>3</v>
      </c>
      <c r="Q46" t="s">
        <v>102</v>
      </c>
      <c r="S46" t="s">
        <v>0</v>
      </c>
    </row>
    <row r="47" spans="1:19" x14ac:dyDescent="0.2">
      <c r="A47">
        <v>795410971</v>
      </c>
      <c r="B47">
        <v>2</v>
      </c>
      <c r="C47" t="s">
        <v>6</v>
      </c>
      <c r="D47" t="s">
        <v>101</v>
      </c>
      <c r="E47" t="s">
        <v>4</v>
      </c>
      <c r="F47" t="s">
        <v>3</v>
      </c>
      <c r="S47" t="s">
        <v>94</v>
      </c>
    </row>
    <row r="48" spans="1:19" x14ac:dyDescent="0.2">
      <c r="A48">
        <v>826210737</v>
      </c>
      <c r="B48">
        <v>3</v>
      </c>
      <c r="C48" t="s">
        <v>6</v>
      </c>
      <c r="D48" t="s">
        <v>100</v>
      </c>
      <c r="E48" t="s">
        <v>4</v>
      </c>
      <c r="F48" t="s">
        <v>3</v>
      </c>
      <c r="Q48" t="s">
        <v>99</v>
      </c>
      <c r="S48" t="s">
        <v>0</v>
      </c>
    </row>
    <row r="49" spans="1:19" x14ac:dyDescent="0.2">
      <c r="A49">
        <v>831210567</v>
      </c>
      <c r="B49">
        <v>40</v>
      </c>
      <c r="C49" t="s">
        <v>12</v>
      </c>
      <c r="D49" t="s">
        <v>98</v>
      </c>
      <c r="E49" t="s">
        <v>4</v>
      </c>
      <c r="F49" t="s">
        <v>3</v>
      </c>
      <c r="O49" t="s">
        <v>97</v>
      </c>
      <c r="Q49" t="s">
        <v>96</v>
      </c>
      <c r="S49" t="s">
        <v>38</v>
      </c>
    </row>
    <row r="50" spans="1:19" x14ac:dyDescent="0.2">
      <c r="A50">
        <v>878310732</v>
      </c>
      <c r="B50">
        <v>31</v>
      </c>
      <c r="C50" t="s">
        <v>6</v>
      </c>
      <c r="D50" t="s">
        <v>95</v>
      </c>
      <c r="E50" t="s">
        <v>4</v>
      </c>
      <c r="F50" t="s">
        <v>3</v>
      </c>
      <c r="S50" t="s">
        <v>94</v>
      </c>
    </row>
    <row r="51" spans="1:19" x14ac:dyDescent="0.2">
      <c r="A51">
        <v>880910162</v>
      </c>
      <c r="B51">
        <v>28</v>
      </c>
      <c r="C51" t="s">
        <v>12</v>
      </c>
      <c r="D51" t="s">
        <v>93</v>
      </c>
      <c r="E51" t="s">
        <v>4</v>
      </c>
      <c r="F51" t="s">
        <v>3</v>
      </c>
      <c r="Q51" t="s">
        <v>92</v>
      </c>
      <c r="S51" t="s">
        <v>0</v>
      </c>
    </row>
    <row r="52" spans="1:19" x14ac:dyDescent="0.2">
      <c r="A52">
        <v>888710791</v>
      </c>
      <c r="B52">
        <v>12</v>
      </c>
      <c r="C52" t="s">
        <v>6</v>
      </c>
      <c r="D52" t="s">
        <v>91</v>
      </c>
      <c r="E52" t="s">
        <v>4</v>
      </c>
      <c r="F52" t="s">
        <v>3</v>
      </c>
      <c r="Q52" t="s">
        <v>90</v>
      </c>
      <c r="S52" t="s">
        <v>0</v>
      </c>
    </row>
    <row r="53" spans="1:19" x14ac:dyDescent="0.2">
      <c r="A53">
        <v>932610840</v>
      </c>
      <c r="B53">
        <v>13</v>
      </c>
      <c r="C53" t="s">
        <v>6</v>
      </c>
      <c r="D53" t="s">
        <v>89</v>
      </c>
      <c r="E53" t="s">
        <v>4</v>
      </c>
      <c r="F53" t="s">
        <v>3</v>
      </c>
      <c r="G53" t="s">
        <v>88</v>
      </c>
      <c r="I53" t="s">
        <v>87</v>
      </c>
      <c r="Q53" t="s">
        <v>86</v>
      </c>
      <c r="S53" t="s">
        <v>94</v>
      </c>
    </row>
    <row r="54" spans="1:19" x14ac:dyDescent="0.2">
      <c r="A54">
        <v>954410764</v>
      </c>
      <c r="B54">
        <v>19</v>
      </c>
      <c r="C54" t="s">
        <v>6</v>
      </c>
      <c r="D54" t="s">
        <v>85</v>
      </c>
      <c r="E54" t="s">
        <v>4</v>
      </c>
      <c r="F54" t="s">
        <v>3</v>
      </c>
      <c r="Q54" t="s">
        <v>84</v>
      </c>
      <c r="S54" t="s">
        <v>0</v>
      </c>
    </row>
    <row r="55" spans="1:19" x14ac:dyDescent="0.2">
      <c r="A55">
        <v>959010761</v>
      </c>
      <c r="B55">
        <v>9</v>
      </c>
      <c r="C55" t="s">
        <v>6</v>
      </c>
      <c r="D55" t="s">
        <v>83</v>
      </c>
      <c r="E55" t="s">
        <v>4</v>
      </c>
      <c r="F55" t="s">
        <v>3</v>
      </c>
      <c r="O55" t="s">
        <v>82</v>
      </c>
      <c r="Q55" t="s">
        <v>81</v>
      </c>
      <c r="S55" t="s">
        <v>38</v>
      </c>
    </row>
    <row r="56" spans="1:19" x14ac:dyDescent="0.2">
      <c r="A56">
        <v>1026210195</v>
      </c>
      <c r="B56">
        <v>37</v>
      </c>
      <c r="C56" t="s">
        <v>12</v>
      </c>
      <c r="D56" t="s">
        <v>80</v>
      </c>
      <c r="E56" t="s">
        <v>4</v>
      </c>
      <c r="F56" t="s">
        <v>3</v>
      </c>
      <c r="O56" t="s">
        <v>79</v>
      </c>
      <c r="Q56" t="s">
        <v>78</v>
      </c>
      <c r="S56" t="s">
        <v>38</v>
      </c>
    </row>
    <row r="57" spans="1:19" x14ac:dyDescent="0.2">
      <c r="A57">
        <v>1084310679</v>
      </c>
      <c r="B57">
        <v>14</v>
      </c>
      <c r="C57" t="s">
        <v>12</v>
      </c>
      <c r="D57" t="s">
        <v>77</v>
      </c>
      <c r="E57" t="s">
        <v>4</v>
      </c>
      <c r="F57" t="s">
        <v>3</v>
      </c>
      <c r="Q57" t="s">
        <v>76</v>
      </c>
      <c r="S57" t="s">
        <v>0</v>
      </c>
    </row>
    <row r="58" spans="1:19" x14ac:dyDescent="0.2">
      <c r="A58">
        <v>1086910999</v>
      </c>
      <c r="B58">
        <v>27</v>
      </c>
      <c r="C58" t="s">
        <v>12</v>
      </c>
      <c r="D58" t="s">
        <v>75</v>
      </c>
      <c r="E58" t="s">
        <v>4</v>
      </c>
      <c r="F58" t="s">
        <v>3</v>
      </c>
      <c r="Q58" t="s">
        <v>74</v>
      </c>
      <c r="S58" t="s">
        <v>0</v>
      </c>
    </row>
    <row r="59" spans="1:19" x14ac:dyDescent="0.2">
      <c r="A59">
        <v>1112310707</v>
      </c>
      <c r="B59">
        <v>17</v>
      </c>
      <c r="C59" t="s">
        <v>12</v>
      </c>
      <c r="D59" t="s">
        <v>73</v>
      </c>
      <c r="E59" t="s">
        <v>4</v>
      </c>
      <c r="F59" t="s">
        <v>3</v>
      </c>
      <c r="O59" t="s">
        <v>72</v>
      </c>
      <c r="Q59" t="s">
        <v>71</v>
      </c>
      <c r="S59" t="s">
        <v>0</v>
      </c>
    </row>
    <row r="60" spans="1:19" x14ac:dyDescent="0.2">
      <c r="A60">
        <v>1146710626</v>
      </c>
      <c r="B60">
        <v>9</v>
      </c>
      <c r="C60" t="s">
        <v>12</v>
      </c>
      <c r="D60" t="s">
        <v>70</v>
      </c>
      <c r="E60" t="s">
        <v>4</v>
      </c>
      <c r="F60" t="s">
        <v>3</v>
      </c>
      <c r="Q60" t="s">
        <v>69</v>
      </c>
      <c r="S60" t="s">
        <v>0</v>
      </c>
    </row>
    <row r="61" spans="1:19" x14ac:dyDescent="0.2">
      <c r="A61">
        <v>1244410740</v>
      </c>
      <c r="B61">
        <v>12</v>
      </c>
      <c r="C61" t="s">
        <v>6</v>
      </c>
      <c r="D61" t="s">
        <v>68</v>
      </c>
      <c r="E61" t="s">
        <v>4</v>
      </c>
      <c r="F61" t="s">
        <v>3</v>
      </c>
      <c r="Q61" t="s">
        <v>67</v>
      </c>
      <c r="S61" t="s">
        <v>0</v>
      </c>
    </row>
    <row r="62" spans="1:19" x14ac:dyDescent="0.2">
      <c r="A62">
        <v>1292410740</v>
      </c>
      <c r="B62">
        <v>29</v>
      </c>
      <c r="C62" t="s">
        <v>12</v>
      </c>
      <c r="D62" t="s">
        <v>66</v>
      </c>
      <c r="E62" t="s">
        <v>4</v>
      </c>
      <c r="F62" t="s">
        <v>3</v>
      </c>
      <c r="O62" t="s">
        <v>65</v>
      </c>
      <c r="Q62" t="s">
        <v>64</v>
      </c>
      <c r="S62" t="s">
        <v>38</v>
      </c>
    </row>
    <row r="63" spans="1:19" x14ac:dyDescent="0.2">
      <c r="A63">
        <v>1344710011</v>
      </c>
      <c r="B63">
        <v>4</v>
      </c>
      <c r="C63" t="s">
        <v>6</v>
      </c>
      <c r="D63" t="s">
        <v>63</v>
      </c>
      <c r="E63" t="s">
        <v>4</v>
      </c>
      <c r="F63" t="s">
        <v>3</v>
      </c>
      <c r="O63" t="s">
        <v>62</v>
      </c>
      <c r="Q63" t="s">
        <v>61</v>
      </c>
      <c r="S63" t="s">
        <v>38</v>
      </c>
    </row>
    <row r="64" spans="1:19" x14ac:dyDescent="0.2">
      <c r="A64">
        <v>1419010939</v>
      </c>
      <c r="B64">
        <v>16</v>
      </c>
      <c r="C64" t="s">
        <v>6</v>
      </c>
      <c r="D64" t="s">
        <v>60</v>
      </c>
      <c r="E64" t="s">
        <v>4</v>
      </c>
      <c r="F64" t="s">
        <v>3</v>
      </c>
      <c r="H64" t="s">
        <v>59</v>
      </c>
      <c r="Q64" t="s">
        <v>58</v>
      </c>
      <c r="S64" t="s">
        <v>38</v>
      </c>
    </row>
    <row r="65" spans="1:19" x14ac:dyDescent="0.2">
      <c r="A65">
        <v>1591110113</v>
      </c>
      <c r="B65">
        <v>3</v>
      </c>
      <c r="C65" t="s">
        <v>6</v>
      </c>
      <c r="D65" t="s">
        <v>57</v>
      </c>
      <c r="E65" t="s">
        <v>4</v>
      </c>
      <c r="F65" t="s">
        <v>3</v>
      </c>
      <c r="Q65" t="s">
        <v>56</v>
      </c>
      <c r="S65" t="s">
        <v>0</v>
      </c>
    </row>
    <row r="66" spans="1:19" x14ac:dyDescent="0.2">
      <c r="A66">
        <v>1654310321</v>
      </c>
      <c r="B66">
        <v>15</v>
      </c>
      <c r="C66" t="s">
        <v>12</v>
      </c>
      <c r="D66" t="s">
        <v>55</v>
      </c>
      <c r="E66" t="s">
        <v>4</v>
      </c>
      <c r="F66" t="s">
        <v>3</v>
      </c>
      <c r="O66" t="s">
        <v>54</v>
      </c>
      <c r="Q66" t="s">
        <v>53</v>
      </c>
      <c r="S66" t="s">
        <v>0</v>
      </c>
    </row>
    <row r="67" spans="1:19" x14ac:dyDescent="0.2">
      <c r="A67">
        <v>1697510114</v>
      </c>
      <c r="B67">
        <v>10</v>
      </c>
      <c r="C67" t="s">
        <v>12</v>
      </c>
      <c r="D67" t="s">
        <v>52</v>
      </c>
      <c r="E67" t="s">
        <v>4</v>
      </c>
      <c r="F67" t="s">
        <v>3</v>
      </c>
      <c r="Q67" t="s">
        <v>51</v>
      </c>
      <c r="S67" t="s">
        <v>0</v>
      </c>
    </row>
    <row r="68" spans="1:19" x14ac:dyDescent="0.2">
      <c r="A68">
        <v>1721910713</v>
      </c>
      <c r="B68">
        <v>12</v>
      </c>
      <c r="C68" t="s">
        <v>6</v>
      </c>
      <c r="D68" t="s">
        <v>50</v>
      </c>
      <c r="E68" t="s">
        <v>4</v>
      </c>
      <c r="F68" t="s">
        <v>3</v>
      </c>
      <c r="O68" t="s">
        <v>49</v>
      </c>
      <c r="Q68" t="s">
        <v>48</v>
      </c>
      <c r="S68" t="s">
        <v>0</v>
      </c>
    </row>
    <row r="69" spans="1:19" x14ac:dyDescent="0.2">
      <c r="A69">
        <v>1833510766</v>
      </c>
      <c r="B69">
        <v>4</v>
      </c>
      <c r="C69" t="s">
        <v>6</v>
      </c>
      <c r="D69" t="s">
        <v>47</v>
      </c>
      <c r="E69" t="s">
        <v>4</v>
      </c>
      <c r="F69" t="s">
        <v>3</v>
      </c>
      <c r="O69" t="s">
        <v>46</v>
      </c>
      <c r="Q69" t="s">
        <v>45</v>
      </c>
      <c r="S69" t="s">
        <v>38</v>
      </c>
    </row>
    <row r="70" spans="1:19" x14ac:dyDescent="0.2">
      <c r="A70">
        <v>1837010125</v>
      </c>
      <c r="B70">
        <v>12</v>
      </c>
      <c r="C70" t="s">
        <v>6</v>
      </c>
      <c r="D70" t="s">
        <v>44</v>
      </c>
      <c r="E70" t="s">
        <v>4</v>
      </c>
      <c r="F70" t="s">
        <v>3</v>
      </c>
      <c r="O70" t="s">
        <v>43</v>
      </c>
      <c r="Q70" t="s">
        <v>42</v>
      </c>
      <c r="S70" t="s">
        <v>0</v>
      </c>
    </row>
    <row r="71" spans="1:19" x14ac:dyDescent="0.2">
      <c r="A71">
        <v>1865510448</v>
      </c>
      <c r="B71">
        <v>13</v>
      </c>
      <c r="C71" t="s">
        <v>12</v>
      </c>
      <c r="D71" t="s">
        <v>41</v>
      </c>
      <c r="E71" t="s">
        <v>4</v>
      </c>
      <c r="F71" t="s">
        <v>3</v>
      </c>
      <c r="H71" t="s">
        <v>40</v>
      </c>
      <c r="Q71" t="s">
        <v>39</v>
      </c>
      <c r="S71" t="s">
        <v>38</v>
      </c>
    </row>
    <row r="72" spans="1:19" x14ac:dyDescent="0.2">
      <c r="A72">
        <v>2000210593</v>
      </c>
      <c r="B72">
        <v>7</v>
      </c>
      <c r="C72" t="s">
        <v>12</v>
      </c>
      <c r="D72" t="s">
        <v>37</v>
      </c>
      <c r="E72" t="s">
        <v>4</v>
      </c>
      <c r="F72" t="s">
        <v>3</v>
      </c>
      <c r="Q72" t="s">
        <v>36</v>
      </c>
      <c r="S72" t="s">
        <v>0</v>
      </c>
    </row>
    <row r="73" spans="1:19" x14ac:dyDescent="0.2">
      <c r="A73">
        <v>2062710552</v>
      </c>
      <c r="B73">
        <v>19</v>
      </c>
      <c r="C73" t="s">
        <v>12</v>
      </c>
      <c r="D73" t="s">
        <v>35</v>
      </c>
      <c r="E73" t="s">
        <v>4</v>
      </c>
      <c r="F73" t="s">
        <v>3</v>
      </c>
      <c r="O73" t="s">
        <v>34</v>
      </c>
      <c r="Q73" t="s">
        <v>33</v>
      </c>
      <c r="S73" t="s">
        <v>0</v>
      </c>
    </row>
    <row r="74" spans="1:19" x14ac:dyDescent="0.2">
      <c r="A74">
        <v>2072410974</v>
      </c>
      <c r="B74">
        <v>17</v>
      </c>
      <c r="C74" t="s">
        <v>12</v>
      </c>
      <c r="D74" t="s">
        <v>32</v>
      </c>
      <c r="E74" t="s">
        <v>4</v>
      </c>
      <c r="F74" t="s">
        <v>3</v>
      </c>
      <c r="O74" t="s">
        <v>31</v>
      </c>
      <c r="Q74" t="s">
        <v>30</v>
      </c>
      <c r="S74" t="s">
        <v>0</v>
      </c>
    </row>
    <row r="75" spans="1:19" x14ac:dyDescent="0.2">
      <c r="A75">
        <v>2196210387</v>
      </c>
      <c r="B75">
        <v>6</v>
      </c>
      <c r="C75" t="s">
        <v>12</v>
      </c>
      <c r="D75" t="s">
        <v>29</v>
      </c>
      <c r="E75" t="s">
        <v>4</v>
      </c>
      <c r="F75" t="s">
        <v>3</v>
      </c>
      <c r="Q75" t="s">
        <v>28</v>
      </c>
      <c r="S75" t="s">
        <v>0</v>
      </c>
    </row>
    <row r="76" spans="1:19" x14ac:dyDescent="0.2">
      <c r="A76">
        <v>2220510348</v>
      </c>
      <c r="B76">
        <v>19</v>
      </c>
      <c r="C76" t="s">
        <v>12</v>
      </c>
      <c r="D76" t="s">
        <v>27</v>
      </c>
      <c r="E76" t="s">
        <v>4</v>
      </c>
      <c r="F76" t="s">
        <v>3</v>
      </c>
      <c r="Q76" t="s">
        <v>26</v>
      </c>
      <c r="S76" t="s">
        <v>0</v>
      </c>
    </row>
    <row r="77" spans="1:19" x14ac:dyDescent="0.2">
      <c r="A77">
        <v>2353710622</v>
      </c>
      <c r="B77">
        <v>16</v>
      </c>
      <c r="C77" t="s">
        <v>6</v>
      </c>
      <c r="D77" t="s">
        <v>25</v>
      </c>
      <c r="E77" t="s">
        <v>4</v>
      </c>
      <c r="F77" t="s">
        <v>3</v>
      </c>
      <c r="G77" t="s">
        <v>24</v>
      </c>
      <c r="O77" t="s">
        <v>23</v>
      </c>
      <c r="Q77" t="s">
        <v>22</v>
      </c>
      <c r="S77" t="s">
        <v>0</v>
      </c>
    </row>
    <row r="78" spans="1:19" x14ac:dyDescent="0.2">
      <c r="A78">
        <v>2459710934</v>
      </c>
      <c r="B78">
        <v>3</v>
      </c>
      <c r="C78" t="s">
        <v>12</v>
      </c>
      <c r="D78" t="s">
        <v>21</v>
      </c>
      <c r="E78" t="s">
        <v>4</v>
      </c>
      <c r="F78" t="s">
        <v>3</v>
      </c>
      <c r="Q78" t="s">
        <v>20</v>
      </c>
      <c r="S78" t="s">
        <v>0</v>
      </c>
    </row>
    <row r="79" spans="1:19" x14ac:dyDescent="0.2">
      <c r="A79">
        <v>2625910670</v>
      </c>
      <c r="B79">
        <v>13</v>
      </c>
      <c r="C79" t="s">
        <v>6</v>
      </c>
      <c r="D79" t="s">
        <v>19</v>
      </c>
      <c r="E79" t="s">
        <v>4</v>
      </c>
      <c r="F79" t="s">
        <v>3</v>
      </c>
      <c r="O79" t="s">
        <v>18</v>
      </c>
      <c r="Q79" t="s">
        <v>17</v>
      </c>
      <c r="S79" t="s">
        <v>38</v>
      </c>
    </row>
    <row r="80" spans="1:19" x14ac:dyDescent="0.2">
      <c r="A80">
        <v>2850010979</v>
      </c>
      <c r="B80">
        <v>2</v>
      </c>
      <c r="C80" t="s">
        <v>12</v>
      </c>
      <c r="D80" t="s">
        <v>16</v>
      </c>
      <c r="E80" t="s">
        <v>4</v>
      </c>
      <c r="F80" t="s">
        <v>3</v>
      </c>
      <c r="Q80" t="s">
        <v>15</v>
      </c>
      <c r="S80" t="s">
        <v>0</v>
      </c>
    </row>
    <row r="81" spans="1:19" x14ac:dyDescent="0.2">
      <c r="A81">
        <v>2990210861</v>
      </c>
      <c r="B81">
        <v>1</v>
      </c>
      <c r="C81" t="s">
        <v>12</v>
      </c>
      <c r="D81" t="s">
        <v>14</v>
      </c>
      <c r="E81" t="s">
        <v>4</v>
      </c>
      <c r="F81" t="s">
        <v>3</v>
      </c>
      <c r="Q81" t="s">
        <v>13</v>
      </c>
      <c r="S81" t="s">
        <v>0</v>
      </c>
    </row>
    <row r="82" spans="1:19" x14ac:dyDescent="0.2">
      <c r="A82">
        <v>3525210465</v>
      </c>
      <c r="B82">
        <v>53</v>
      </c>
      <c r="C82" t="s">
        <v>12</v>
      </c>
      <c r="D82" t="s">
        <v>11</v>
      </c>
      <c r="E82" t="s">
        <v>4</v>
      </c>
      <c r="F82" t="s">
        <v>3</v>
      </c>
      <c r="O82" t="s">
        <v>10</v>
      </c>
      <c r="Q82" t="s">
        <v>9</v>
      </c>
      <c r="S82" t="s">
        <v>0</v>
      </c>
    </row>
    <row r="83" spans="1:19" x14ac:dyDescent="0.2">
      <c r="A83">
        <v>3782210815</v>
      </c>
      <c r="B83">
        <v>43</v>
      </c>
      <c r="C83" t="s">
        <v>6</v>
      </c>
      <c r="D83" t="s">
        <v>8</v>
      </c>
      <c r="E83" t="s">
        <v>4</v>
      </c>
      <c r="F83" t="s">
        <v>3</v>
      </c>
      <c r="Q83" t="s">
        <v>7</v>
      </c>
      <c r="S83" t="s">
        <v>0</v>
      </c>
    </row>
    <row r="84" spans="1:19" x14ac:dyDescent="0.2">
      <c r="A84">
        <v>4946010229</v>
      </c>
      <c r="B84">
        <v>5</v>
      </c>
      <c r="C84" t="s">
        <v>6</v>
      </c>
      <c r="D84" t="s">
        <v>5</v>
      </c>
      <c r="E84" t="s">
        <v>4</v>
      </c>
      <c r="F84" t="s">
        <v>3</v>
      </c>
      <c r="O84" t="s">
        <v>2</v>
      </c>
      <c r="Q84" t="s">
        <v>1</v>
      </c>
      <c r="S84" t="s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C69C-2469-BD45-9B4D-669E5A14A30F}">
  <dimension ref="A3:B7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1640625" bestFit="1" customWidth="1"/>
  </cols>
  <sheetData>
    <row r="3" spans="1:2" x14ac:dyDescent="0.2">
      <c r="A3" s="1" t="s">
        <v>321</v>
      </c>
      <c r="B3" t="s">
        <v>324</v>
      </c>
    </row>
    <row r="4" spans="1:2" x14ac:dyDescent="0.2">
      <c r="A4" s="2" t="s">
        <v>38</v>
      </c>
      <c r="B4">
        <v>32</v>
      </c>
    </row>
    <row r="5" spans="1:2" x14ac:dyDescent="0.2">
      <c r="A5" s="2" t="s">
        <v>94</v>
      </c>
      <c r="B5">
        <v>7</v>
      </c>
    </row>
    <row r="6" spans="1:2" x14ac:dyDescent="0.2">
      <c r="A6" s="2" t="s">
        <v>0</v>
      </c>
      <c r="B6">
        <v>44</v>
      </c>
    </row>
    <row r="7" spans="1:2" x14ac:dyDescent="0.2">
      <c r="A7" s="2" t="s">
        <v>322</v>
      </c>
      <c r="B7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4233-C9B8-1B44-B7C9-3ADB96A503D7}">
  <dimension ref="A1:S84"/>
  <sheetViews>
    <sheetView workbookViewId="0"/>
  </sheetViews>
  <sheetFormatPr baseColWidth="10" defaultRowHeight="16" x14ac:dyDescent="0.2"/>
  <sheetData>
    <row r="1" spans="1:19" x14ac:dyDescent="0.2">
      <c r="A1" t="s">
        <v>272</v>
      </c>
      <c r="B1" t="s">
        <v>258</v>
      </c>
      <c r="C1" t="s">
        <v>257</v>
      </c>
      <c r="D1" t="s">
        <v>271</v>
      </c>
      <c r="E1" t="s">
        <v>270</v>
      </c>
      <c r="F1" t="s">
        <v>254</v>
      </c>
      <c r="G1" t="s">
        <v>253</v>
      </c>
      <c r="H1" t="s">
        <v>252</v>
      </c>
      <c r="I1" t="s">
        <v>269</v>
      </c>
      <c r="J1" t="s">
        <v>268</v>
      </c>
      <c r="K1" t="s">
        <v>267</v>
      </c>
      <c r="L1" t="s">
        <v>266</v>
      </c>
      <c r="M1" t="s">
        <v>247</v>
      </c>
      <c r="N1" t="s">
        <v>265</v>
      </c>
      <c r="O1" t="s">
        <v>264</v>
      </c>
      <c r="P1" t="s">
        <v>263</v>
      </c>
      <c r="Q1" t="s">
        <v>262</v>
      </c>
      <c r="R1" t="s">
        <v>242</v>
      </c>
      <c r="S1" t="s">
        <v>261</v>
      </c>
    </row>
    <row r="2" spans="1:19" x14ac:dyDescent="0.2">
      <c r="A2">
        <v>643110884</v>
      </c>
      <c r="B2">
        <v>50</v>
      </c>
      <c r="C2" t="s">
        <v>12</v>
      </c>
      <c r="D2" t="s">
        <v>240</v>
      </c>
      <c r="E2" t="s">
        <v>4</v>
      </c>
      <c r="F2" t="s">
        <v>239</v>
      </c>
      <c r="O2" t="s">
        <v>238</v>
      </c>
      <c r="Q2" t="s">
        <v>237</v>
      </c>
      <c r="S2" t="s">
        <v>94</v>
      </c>
    </row>
    <row r="3" spans="1:19" x14ac:dyDescent="0.2">
      <c r="A3">
        <v>706710306</v>
      </c>
      <c r="B3">
        <v>48</v>
      </c>
      <c r="C3" t="s">
        <v>12</v>
      </c>
      <c r="D3" t="s">
        <v>236</v>
      </c>
      <c r="E3" t="s">
        <v>4</v>
      </c>
      <c r="F3" t="s">
        <v>235</v>
      </c>
      <c r="O3" t="s">
        <v>234</v>
      </c>
      <c r="Q3" t="s">
        <v>233</v>
      </c>
      <c r="S3" t="s">
        <v>94</v>
      </c>
    </row>
    <row r="4" spans="1:19" x14ac:dyDescent="0.2">
      <c r="A4">
        <v>384210994</v>
      </c>
      <c r="B4">
        <v>30</v>
      </c>
      <c r="C4" t="s">
        <v>12</v>
      </c>
      <c r="D4" t="s">
        <v>232</v>
      </c>
      <c r="E4" t="s">
        <v>4</v>
      </c>
      <c r="F4" t="s">
        <v>231</v>
      </c>
      <c r="Q4" t="s">
        <v>230</v>
      </c>
      <c r="S4" t="s">
        <v>94</v>
      </c>
    </row>
    <row r="5" spans="1:19" x14ac:dyDescent="0.2">
      <c r="A5">
        <v>1502010397</v>
      </c>
      <c r="B5">
        <v>15</v>
      </c>
      <c r="C5" t="s">
        <v>12</v>
      </c>
      <c r="D5" t="s">
        <v>229</v>
      </c>
      <c r="E5" t="s">
        <v>4</v>
      </c>
      <c r="F5" t="s">
        <v>228</v>
      </c>
      <c r="O5" t="s">
        <v>227</v>
      </c>
      <c r="Q5" t="s">
        <v>226</v>
      </c>
      <c r="S5" t="s">
        <v>94</v>
      </c>
    </row>
    <row r="6" spans="1:19" x14ac:dyDescent="0.2">
      <c r="A6">
        <v>503810366</v>
      </c>
      <c r="B6">
        <v>72</v>
      </c>
      <c r="C6" t="s">
        <v>12</v>
      </c>
      <c r="D6" t="s">
        <v>225</v>
      </c>
      <c r="E6" t="s">
        <v>4</v>
      </c>
      <c r="F6" t="s">
        <v>220</v>
      </c>
      <c r="I6" t="s">
        <v>224</v>
      </c>
      <c r="O6" t="s">
        <v>223</v>
      </c>
      <c r="Q6" t="s">
        <v>222</v>
      </c>
      <c r="S6" t="s">
        <v>94</v>
      </c>
    </row>
    <row r="7" spans="1:19" x14ac:dyDescent="0.2">
      <c r="A7">
        <v>5282710166</v>
      </c>
      <c r="B7">
        <v>22</v>
      </c>
      <c r="C7" t="s">
        <v>12</v>
      </c>
      <c r="D7" t="s">
        <v>221</v>
      </c>
      <c r="E7" t="s">
        <v>4</v>
      </c>
      <c r="F7" t="s">
        <v>220</v>
      </c>
      <c r="O7" t="s">
        <v>219</v>
      </c>
      <c r="Q7" t="s">
        <v>218</v>
      </c>
      <c r="S7" t="s">
        <v>94</v>
      </c>
    </row>
    <row r="8" spans="1:19" x14ac:dyDescent="0.2">
      <c r="A8">
        <v>153910595</v>
      </c>
      <c r="B8">
        <v>60</v>
      </c>
      <c r="C8" t="s">
        <v>12</v>
      </c>
      <c r="D8" t="s">
        <v>217</v>
      </c>
      <c r="E8" t="s">
        <v>4</v>
      </c>
      <c r="F8" t="s">
        <v>216</v>
      </c>
      <c r="O8" t="s">
        <v>215</v>
      </c>
      <c r="S8" t="s">
        <v>94</v>
      </c>
    </row>
    <row r="9" spans="1:19" x14ac:dyDescent="0.2">
      <c r="A9">
        <v>239110163</v>
      </c>
      <c r="B9">
        <v>11</v>
      </c>
      <c r="C9" t="s">
        <v>6</v>
      </c>
      <c r="D9" t="s">
        <v>214</v>
      </c>
      <c r="E9" t="s">
        <v>4</v>
      </c>
      <c r="F9" t="s">
        <v>192</v>
      </c>
      <c r="O9" t="s">
        <v>213</v>
      </c>
      <c r="Q9" t="s">
        <v>212</v>
      </c>
      <c r="S9" t="s">
        <v>94</v>
      </c>
    </row>
    <row r="10" spans="1:19" x14ac:dyDescent="0.2">
      <c r="A10">
        <v>258510963</v>
      </c>
      <c r="B10">
        <v>48</v>
      </c>
      <c r="C10" t="s">
        <v>12</v>
      </c>
      <c r="D10" t="s">
        <v>211</v>
      </c>
      <c r="E10" t="s">
        <v>4</v>
      </c>
      <c r="F10" t="s">
        <v>192</v>
      </c>
      <c r="Q10" t="s">
        <v>210</v>
      </c>
      <c r="S10" t="s">
        <v>94</v>
      </c>
    </row>
    <row r="11" spans="1:19" x14ac:dyDescent="0.2">
      <c r="A11">
        <v>366910461</v>
      </c>
      <c r="B11">
        <v>15</v>
      </c>
      <c r="C11" t="s">
        <v>12</v>
      </c>
      <c r="D11" t="s">
        <v>209</v>
      </c>
      <c r="E11" t="s">
        <v>4</v>
      </c>
      <c r="F11" t="s">
        <v>192</v>
      </c>
      <c r="Q11" t="s">
        <v>208</v>
      </c>
      <c r="S11" t="s">
        <v>94</v>
      </c>
    </row>
    <row r="12" spans="1:19" x14ac:dyDescent="0.2">
      <c r="A12">
        <v>592410349</v>
      </c>
      <c r="B12">
        <v>21</v>
      </c>
      <c r="C12" t="s">
        <v>12</v>
      </c>
      <c r="D12" t="s">
        <v>207</v>
      </c>
      <c r="E12" t="s">
        <v>4</v>
      </c>
      <c r="F12" t="s">
        <v>206</v>
      </c>
      <c r="O12" t="s">
        <v>205</v>
      </c>
      <c r="Q12" t="s">
        <v>204</v>
      </c>
      <c r="S12" t="s">
        <v>94</v>
      </c>
    </row>
    <row r="13" spans="1:19" x14ac:dyDescent="0.2">
      <c r="A13">
        <v>1094310233</v>
      </c>
      <c r="B13">
        <v>4</v>
      </c>
      <c r="C13" t="s">
        <v>12</v>
      </c>
      <c r="D13" t="s">
        <v>203</v>
      </c>
      <c r="E13" t="s">
        <v>4</v>
      </c>
      <c r="F13" t="s">
        <v>192</v>
      </c>
      <c r="O13" t="s">
        <v>202</v>
      </c>
      <c r="Q13" t="s">
        <v>201</v>
      </c>
      <c r="S13" t="s">
        <v>94</v>
      </c>
    </row>
    <row r="14" spans="1:19" x14ac:dyDescent="0.2">
      <c r="A14">
        <v>1237910593</v>
      </c>
      <c r="B14">
        <v>4</v>
      </c>
      <c r="C14" t="s">
        <v>12</v>
      </c>
      <c r="D14" t="s">
        <v>200</v>
      </c>
      <c r="E14" t="s">
        <v>4</v>
      </c>
      <c r="F14" t="s">
        <v>192</v>
      </c>
      <c r="O14" t="s">
        <v>199</v>
      </c>
      <c r="Q14" t="s">
        <v>198</v>
      </c>
      <c r="S14" t="s">
        <v>94</v>
      </c>
    </row>
    <row r="15" spans="1:19" x14ac:dyDescent="0.2">
      <c r="A15">
        <v>1489110030</v>
      </c>
      <c r="B15">
        <v>60</v>
      </c>
      <c r="C15" t="s">
        <v>6</v>
      </c>
      <c r="D15" t="s">
        <v>197</v>
      </c>
      <c r="E15" t="s">
        <v>4</v>
      </c>
      <c r="F15" t="s">
        <v>192</v>
      </c>
      <c r="S15" t="s">
        <v>94</v>
      </c>
    </row>
    <row r="16" spans="1:19" x14ac:dyDescent="0.2">
      <c r="A16">
        <v>3333010111</v>
      </c>
      <c r="B16">
        <v>5</v>
      </c>
      <c r="C16" t="s">
        <v>6</v>
      </c>
      <c r="D16" t="s">
        <v>196</v>
      </c>
      <c r="E16" t="s">
        <v>4</v>
      </c>
      <c r="F16" t="s">
        <v>195</v>
      </c>
      <c r="Q16" t="s">
        <v>194</v>
      </c>
      <c r="S16" t="s">
        <v>94</v>
      </c>
    </row>
    <row r="17" spans="1:19" x14ac:dyDescent="0.2">
      <c r="A17">
        <v>4298610465</v>
      </c>
      <c r="B17">
        <v>33</v>
      </c>
      <c r="C17" t="s">
        <v>12</v>
      </c>
      <c r="D17" t="s">
        <v>193</v>
      </c>
      <c r="E17" t="s">
        <v>4</v>
      </c>
      <c r="F17" t="s">
        <v>192</v>
      </c>
      <c r="O17" t="s">
        <v>191</v>
      </c>
      <c r="Q17" t="s">
        <v>190</v>
      </c>
      <c r="S17" t="s">
        <v>94</v>
      </c>
    </row>
    <row r="18" spans="1:19" x14ac:dyDescent="0.2">
      <c r="A18">
        <v>863610325</v>
      </c>
      <c r="B18">
        <v>23</v>
      </c>
      <c r="C18" t="s">
        <v>6</v>
      </c>
      <c r="D18" t="s">
        <v>189</v>
      </c>
      <c r="E18" t="s">
        <v>4</v>
      </c>
      <c r="F18" t="s">
        <v>188</v>
      </c>
      <c r="Q18" t="s">
        <v>187</v>
      </c>
      <c r="S18" t="s">
        <v>94</v>
      </c>
    </row>
    <row r="19" spans="1:19" x14ac:dyDescent="0.2">
      <c r="A19">
        <v>3882310263</v>
      </c>
      <c r="B19">
        <v>6</v>
      </c>
      <c r="C19" t="s">
        <v>12</v>
      </c>
      <c r="D19" t="s">
        <v>186</v>
      </c>
      <c r="E19" t="s">
        <v>4</v>
      </c>
      <c r="F19" t="s">
        <v>185</v>
      </c>
      <c r="Q19" t="s">
        <v>184</v>
      </c>
      <c r="S19" t="s">
        <v>94</v>
      </c>
    </row>
    <row r="20" spans="1:19" x14ac:dyDescent="0.2">
      <c r="A20">
        <v>502810717</v>
      </c>
      <c r="B20">
        <v>35</v>
      </c>
      <c r="C20" t="s">
        <v>12</v>
      </c>
      <c r="D20" t="s">
        <v>183</v>
      </c>
      <c r="E20" t="s">
        <v>4</v>
      </c>
      <c r="F20" t="s">
        <v>177</v>
      </c>
      <c r="I20" t="s">
        <v>182</v>
      </c>
      <c r="Q20" t="s">
        <v>181</v>
      </c>
      <c r="S20" t="s">
        <v>94</v>
      </c>
    </row>
    <row r="21" spans="1:19" x14ac:dyDescent="0.2">
      <c r="A21">
        <v>811810047</v>
      </c>
      <c r="B21">
        <v>66</v>
      </c>
      <c r="C21" t="s">
        <v>12</v>
      </c>
      <c r="D21" t="s">
        <v>180</v>
      </c>
      <c r="E21" t="s">
        <v>4</v>
      </c>
      <c r="F21" t="s">
        <v>177</v>
      </c>
      <c r="Q21" t="s">
        <v>179</v>
      </c>
      <c r="S21" t="s">
        <v>94</v>
      </c>
    </row>
    <row r="22" spans="1:19" x14ac:dyDescent="0.2">
      <c r="A22">
        <v>1626210870</v>
      </c>
      <c r="B22">
        <v>4</v>
      </c>
      <c r="C22" t="s">
        <v>6</v>
      </c>
      <c r="D22" t="s">
        <v>178</v>
      </c>
      <c r="E22" t="s">
        <v>4</v>
      </c>
      <c r="F22" t="s">
        <v>177</v>
      </c>
      <c r="Q22" t="s">
        <v>176</v>
      </c>
      <c r="S22" t="s">
        <v>94</v>
      </c>
    </row>
    <row r="23" spans="1:19" x14ac:dyDescent="0.2">
      <c r="A23">
        <v>2213210607</v>
      </c>
      <c r="B23">
        <v>45</v>
      </c>
      <c r="C23" t="s">
        <v>6</v>
      </c>
      <c r="D23" t="s">
        <v>175</v>
      </c>
      <c r="E23" t="s">
        <v>4</v>
      </c>
      <c r="F23" t="s">
        <v>174</v>
      </c>
      <c r="O23" t="s">
        <v>173</v>
      </c>
      <c r="Q23" t="s">
        <v>172</v>
      </c>
      <c r="S23" t="s">
        <v>94</v>
      </c>
    </row>
    <row r="24" spans="1:19" x14ac:dyDescent="0.2">
      <c r="A24">
        <v>5494710200</v>
      </c>
      <c r="B24">
        <v>13</v>
      </c>
      <c r="C24" t="s">
        <v>12</v>
      </c>
      <c r="D24" t="s">
        <v>171</v>
      </c>
      <c r="E24" t="s">
        <v>4</v>
      </c>
      <c r="F24" t="s">
        <v>170</v>
      </c>
      <c r="Q24" t="s">
        <v>169</v>
      </c>
      <c r="S24" t="s">
        <v>94</v>
      </c>
    </row>
    <row r="25" spans="1:19" x14ac:dyDescent="0.2">
      <c r="A25">
        <v>1525510677</v>
      </c>
      <c r="B25">
        <v>36</v>
      </c>
      <c r="C25" t="s">
        <v>12</v>
      </c>
      <c r="D25" t="s">
        <v>168</v>
      </c>
      <c r="E25" t="s">
        <v>4</v>
      </c>
      <c r="F25" t="s">
        <v>167</v>
      </c>
      <c r="O25" t="s">
        <v>166</v>
      </c>
      <c r="Q25" t="s">
        <v>165</v>
      </c>
      <c r="S25" t="s">
        <v>94</v>
      </c>
    </row>
    <row r="26" spans="1:19" x14ac:dyDescent="0.2">
      <c r="A26">
        <v>3810766</v>
      </c>
      <c r="B26">
        <v>11</v>
      </c>
      <c r="C26" t="s">
        <v>12</v>
      </c>
      <c r="D26" t="s">
        <v>164</v>
      </c>
      <c r="E26" t="s">
        <v>4</v>
      </c>
      <c r="F26" t="s">
        <v>3</v>
      </c>
      <c r="O26" t="s">
        <v>163</v>
      </c>
      <c r="Q26" t="s">
        <v>162</v>
      </c>
      <c r="S26" t="s">
        <v>94</v>
      </c>
    </row>
    <row r="27" spans="1:19" x14ac:dyDescent="0.2">
      <c r="A27">
        <v>4610438</v>
      </c>
      <c r="B27">
        <v>72</v>
      </c>
      <c r="C27" t="s">
        <v>12</v>
      </c>
      <c r="D27" t="s">
        <v>161</v>
      </c>
      <c r="E27" t="s">
        <v>4</v>
      </c>
      <c r="F27" t="s">
        <v>160</v>
      </c>
      <c r="I27" t="s">
        <v>159</v>
      </c>
      <c r="O27" t="s">
        <v>158</v>
      </c>
      <c r="Q27" t="s">
        <v>157</v>
      </c>
      <c r="S27" t="s">
        <v>94</v>
      </c>
    </row>
    <row r="28" spans="1:19" x14ac:dyDescent="0.2">
      <c r="A28">
        <v>9710983</v>
      </c>
      <c r="B28">
        <v>12</v>
      </c>
      <c r="C28" t="s">
        <v>12</v>
      </c>
      <c r="D28" t="s">
        <v>156</v>
      </c>
      <c r="E28" t="s">
        <v>4</v>
      </c>
      <c r="F28" t="s">
        <v>3</v>
      </c>
      <c r="O28" t="s">
        <v>155</v>
      </c>
      <c r="Q28" t="s">
        <v>154</v>
      </c>
      <c r="S28" t="s">
        <v>94</v>
      </c>
    </row>
    <row r="29" spans="1:19" x14ac:dyDescent="0.2">
      <c r="A29">
        <v>62910668</v>
      </c>
      <c r="B29">
        <v>59</v>
      </c>
      <c r="C29" t="s">
        <v>12</v>
      </c>
      <c r="D29" t="s">
        <v>153</v>
      </c>
      <c r="E29" t="s">
        <v>4</v>
      </c>
      <c r="F29" t="s">
        <v>3</v>
      </c>
      <c r="O29" t="s">
        <v>152</v>
      </c>
      <c r="Q29" t="s">
        <v>151</v>
      </c>
      <c r="S29" t="s">
        <v>94</v>
      </c>
    </row>
    <row r="30" spans="1:19" x14ac:dyDescent="0.2">
      <c r="A30">
        <v>70210987</v>
      </c>
      <c r="B30">
        <v>75</v>
      </c>
      <c r="C30" t="s">
        <v>12</v>
      </c>
      <c r="D30" t="s">
        <v>150</v>
      </c>
      <c r="E30" t="s">
        <v>4</v>
      </c>
      <c r="F30" t="s">
        <v>3</v>
      </c>
      <c r="S30" t="s">
        <v>94</v>
      </c>
    </row>
    <row r="31" spans="1:19" x14ac:dyDescent="0.2">
      <c r="A31">
        <v>87610928</v>
      </c>
      <c r="B31">
        <v>14</v>
      </c>
      <c r="C31" t="s">
        <v>12</v>
      </c>
      <c r="D31" t="s">
        <v>149</v>
      </c>
      <c r="E31" t="s">
        <v>4</v>
      </c>
      <c r="F31" t="s">
        <v>3</v>
      </c>
      <c r="O31" t="s">
        <v>148</v>
      </c>
      <c r="Q31" t="s">
        <v>147</v>
      </c>
      <c r="S31" t="s">
        <v>94</v>
      </c>
    </row>
    <row r="32" spans="1:19" x14ac:dyDescent="0.2">
      <c r="A32">
        <v>92810885</v>
      </c>
      <c r="B32">
        <v>24</v>
      </c>
      <c r="C32" t="s">
        <v>12</v>
      </c>
      <c r="D32" t="s">
        <v>146</v>
      </c>
      <c r="E32" t="s">
        <v>4</v>
      </c>
      <c r="F32" t="s">
        <v>3</v>
      </c>
      <c r="O32" t="s">
        <v>145</v>
      </c>
      <c r="Q32" t="s">
        <v>144</v>
      </c>
      <c r="S32" t="s">
        <v>94</v>
      </c>
    </row>
    <row r="33" spans="1:19" x14ac:dyDescent="0.2">
      <c r="A33">
        <v>129310347</v>
      </c>
      <c r="B33">
        <v>30</v>
      </c>
      <c r="C33" t="s">
        <v>12</v>
      </c>
      <c r="D33" t="s">
        <v>143</v>
      </c>
      <c r="E33" t="s">
        <v>4</v>
      </c>
      <c r="F33" t="s">
        <v>3</v>
      </c>
      <c r="O33" t="s">
        <v>142</v>
      </c>
      <c r="Q33" t="s">
        <v>141</v>
      </c>
      <c r="S33" t="s">
        <v>94</v>
      </c>
    </row>
    <row r="34" spans="1:19" x14ac:dyDescent="0.2">
      <c r="A34">
        <v>214510962</v>
      </c>
      <c r="B34">
        <v>67</v>
      </c>
      <c r="C34" t="s">
        <v>6</v>
      </c>
      <c r="D34" t="s">
        <v>140</v>
      </c>
      <c r="E34" t="s">
        <v>4</v>
      </c>
      <c r="F34" t="s">
        <v>3</v>
      </c>
      <c r="I34" t="s">
        <v>139</v>
      </c>
      <c r="Q34" t="s">
        <v>138</v>
      </c>
      <c r="S34" t="s">
        <v>94</v>
      </c>
    </row>
    <row r="35" spans="1:19" x14ac:dyDescent="0.2">
      <c r="A35">
        <v>244010017</v>
      </c>
      <c r="B35">
        <v>17</v>
      </c>
      <c r="C35" t="s">
        <v>6</v>
      </c>
      <c r="D35" t="s">
        <v>137</v>
      </c>
      <c r="E35" t="s">
        <v>4</v>
      </c>
      <c r="F35" t="s">
        <v>136</v>
      </c>
      <c r="O35" t="s">
        <v>135</v>
      </c>
      <c r="Q35" t="s">
        <v>134</v>
      </c>
      <c r="S35" t="s">
        <v>94</v>
      </c>
    </row>
    <row r="36" spans="1:19" x14ac:dyDescent="0.2">
      <c r="A36">
        <v>319810053</v>
      </c>
      <c r="B36">
        <v>13</v>
      </c>
      <c r="C36" t="s">
        <v>12</v>
      </c>
      <c r="D36" t="s">
        <v>133</v>
      </c>
      <c r="E36" t="s">
        <v>4</v>
      </c>
      <c r="F36" t="s">
        <v>3</v>
      </c>
      <c r="O36" t="s">
        <v>132</v>
      </c>
      <c r="Q36" t="s">
        <v>131</v>
      </c>
      <c r="S36" t="s">
        <v>94</v>
      </c>
    </row>
    <row r="37" spans="1:19" x14ac:dyDescent="0.2">
      <c r="A37">
        <v>358110249</v>
      </c>
      <c r="B37">
        <v>40</v>
      </c>
      <c r="C37" t="s">
        <v>12</v>
      </c>
      <c r="D37" t="s">
        <v>130</v>
      </c>
      <c r="E37" t="s">
        <v>4</v>
      </c>
      <c r="F37" t="s">
        <v>3</v>
      </c>
      <c r="I37" t="s">
        <v>129</v>
      </c>
      <c r="O37" t="s">
        <v>128</v>
      </c>
      <c r="P37" t="s">
        <v>127</v>
      </c>
      <c r="Q37" t="s">
        <v>126</v>
      </c>
      <c r="S37" t="s">
        <v>94</v>
      </c>
    </row>
    <row r="38" spans="1:19" x14ac:dyDescent="0.2">
      <c r="A38">
        <v>401410971</v>
      </c>
      <c r="B38">
        <v>19</v>
      </c>
      <c r="C38" t="s">
        <v>6</v>
      </c>
      <c r="D38" t="s">
        <v>125</v>
      </c>
      <c r="E38" t="s">
        <v>4</v>
      </c>
      <c r="F38" t="s">
        <v>3</v>
      </c>
      <c r="Q38" t="s">
        <v>124</v>
      </c>
      <c r="S38" t="s">
        <v>94</v>
      </c>
    </row>
    <row r="39" spans="1:19" x14ac:dyDescent="0.2">
      <c r="A39">
        <v>461910966</v>
      </c>
      <c r="B39">
        <v>31</v>
      </c>
      <c r="C39" t="s">
        <v>12</v>
      </c>
      <c r="D39" t="s">
        <v>123</v>
      </c>
      <c r="E39" t="s">
        <v>4</v>
      </c>
      <c r="F39" t="s">
        <v>3</v>
      </c>
      <c r="I39" t="s">
        <v>122</v>
      </c>
      <c r="Q39" t="s">
        <v>121</v>
      </c>
      <c r="S39" t="s">
        <v>94</v>
      </c>
    </row>
    <row r="40" spans="1:19" x14ac:dyDescent="0.2">
      <c r="A40">
        <v>476910620</v>
      </c>
      <c r="B40">
        <v>72</v>
      </c>
      <c r="C40" t="s">
        <v>6</v>
      </c>
      <c r="D40" t="s">
        <v>120</v>
      </c>
      <c r="E40" t="s">
        <v>4</v>
      </c>
      <c r="F40" t="s">
        <v>3</v>
      </c>
      <c r="J40" t="s">
        <v>119</v>
      </c>
      <c r="O40" t="s">
        <v>118</v>
      </c>
      <c r="Q40" t="s">
        <v>117</v>
      </c>
      <c r="S40" t="s">
        <v>94</v>
      </c>
    </row>
    <row r="41" spans="1:19" x14ac:dyDescent="0.2">
      <c r="A41">
        <v>553410900</v>
      </c>
      <c r="B41">
        <v>19</v>
      </c>
      <c r="C41" t="s">
        <v>12</v>
      </c>
      <c r="D41" t="s">
        <v>116</v>
      </c>
      <c r="E41" t="s">
        <v>4</v>
      </c>
      <c r="F41" t="s">
        <v>3</v>
      </c>
      <c r="Q41" t="s">
        <v>115</v>
      </c>
      <c r="S41" t="s">
        <v>94</v>
      </c>
    </row>
    <row r="42" spans="1:19" x14ac:dyDescent="0.2">
      <c r="A42">
        <v>679310873</v>
      </c>
      <c r="B42">
        <v>13</v>
      </c>
      <c r="C42" t="s">
        <v>12</v>
      </c>
      <c r="D42" t="s">
        <v>114</v>
      </c>
      <c r="E42" t="s">
        <v>4</v>
      </c>
      <c r="F42" t="s">
        <v>3</v>
      </c>
      <c r="O42" t="s">
        <v>113</v>
      </c>
      <c r="Q42" t="s">
        <v>112</v>
      </c>
      <c r="S42" t="s">
        <v>94</v>
      </c>
    </row>
    <row r="43" spans="1:19" x14ac:dyDescent="0.2">
      <c r="A43">
        <v>726310128</v>
      </c>
      <c r="B43">
        <v>17</v>
      </c>
      <c r="C43" t="s">
        <v>6</v>
      </c>
      <c r="D43" t="s">
        <v>111</v>
      </c>
      <c r="E43" t="s">
        <v>4</v>
      </c>
      <c r="F43" t="s">
        <v>3</v>
      </c>
      <c r="O43" t="s">
        <v>110</v>
      </c>
      <c r="Q43" t="s">
        <v>109</v>
      </c>
      <c r="S43" t="s">
        <v>94</v>
      </c>
    </row>
    <row r="44" spans="1:19" x14ac:dyDescent="0.2">
      <c r="A44">
        <v>740710960</v>
      </c>
      <c r="B44">
        <v>12</v>
      </c>
      <c r="C44" t="s">
        <v>6</v>
      </c>
      <c r="D44" t="s">
        <v>108</v>
      </c>
      <c r="E44" t="s">
        <v>4</v>
      </c>
      <c r="F44" t="s">
        <v>3</v>
      </c>
      <c r="O44" t="s">
        <v>107</v>
      </c>
      <c r="Q44" t="s">
        <v>106</v>
      </c>
      <c r="S44" t="s">
        <v>94</v>
      </c>
    </row>
    <row r="45" spans="1:19" x14ac:dyDescent="0.2">
      <c r="A45">
        <v>758210667</v>
      </c>
      <c r="B45">
        <v>7</v>
      </c>
      <c r="C45" t="s">
        <v>12</v>
      </c>
      <c r="D45" t="s">
        <v>105</v>
      </c>
      <c r="E45" t="s">
        <v>4</v>
      </c>
      <c r="F45" t="s">
        <v>3</v>
      </c>
      <c r="Q45" t="s">
        <v>104</v>
      </c>
      <c r="S45" t="s">
        <v>94</v>
      </c>
    </row>
    <row r="46" spans="1:19" x14ac:dyDescent="0.2">
      <c r="A46">
        <v>772810288</v>
      </c>
      <c r="B46">
        <v>15</v>
      </c>
      <c r="C46" t="s">
        <v>12</v>
      </c>
      <c r="D46" t="s">
        <v>103</v>
      </c>
      <c r="E46" t="s">
        <v>4</v>
      </c>
      <c r="F46" t="s">
        <v>3</v>
      </c>
      <c r="Q46" t="s">
        <v>102</v>
      </c>
      <c r="S46" t="s">
        <v>94</v>
      </c>
    </row>
    <row r="47" spans="1:19" x14ac:dyDescent="0.2">
      <c r="A47">
        <v>795410971</v>
      </c>
      <c r="B47">
        <v>2</v>
      </c>
      <c r="C47" t="s">
        <v>6</v>
      </c>
      <c r="D47" t="s">
        <v>101</v>
      </c>
      <c r="E47" t="s">
        <v>4</v>
      </c>
      <c r="F47" t="s">
        <v>3</v>
      </c>
      <c r="S47" t="s">
        <v>94</v>
      </c>
    </row>
    <row r="48" spans="1:19" x14ac:dyDescent="0.2">
      <c r="A48">
        <v>826210737</v>
      </c>
      <c r="B48">
        <v>3</v>
      </c>
      <c r="C48" t="s">
        <v>6</v>
      </c>
      <c r="D48" t="s">
        <v>100</v>
      </c>
      <c r="E48" t="s">
        <v>4</v>
      </c>
      <c r="F48" t="s">
        <v>3</v>
      </c>
      <c r="Q48" t="s">
        <v>99</v>
      </c>
      <c r="S48" t="s">
        <v>94</v>
      </c>
    </row>
    <row r="49" spans="1:19" x14ac:dyDescent="0.2">
      <c r="A49">
        <v>831210567</v>
      </c>
      <c r="B49">
        <v>40</v>
      </c>
      <c r="C49" t="s">
        <v>12</v>
      </c>
      <c r="D49" t="s">
        <v>98</v>
      </c>
      <c r="E49" t="s">
        <v>4</v>
      </c>
      <c r="F49" t="s">
        <v>3</v>
      </c>
      <c r="O49" t="s">
        <v>97</v>
      </c>
      <c r="Q49" t="s">
        <v>96</v>
      </c>
      <c r="S49" t="s">
        <v>94</v>
      </c>
    </row>
    <row r="50" spans="1:19" x14ac:dyDescent="0.2">
      <c r="A50">
        <v>878310732</v>
      </c>
      <c r="B50">
        <v>31</v>
      </c>
      <c r="C50" t="s">
        <v>6</v>
      </c>
      <c r="D50" t="s">
        <v>95</v>
      </c>
      <c r="E50" t="s">
        <v>4</v>
      </c>
      <c r="F50" t="s">
        <v>3</v>
      </c>
      <c r="S50" t="s">
        <v>94</v>
      </c>
    </row>
    <row r="51" spans="1:19" x14ac:dyDescent="0.2">
      <c r="A51">
        <v>880910162</v>
      </c>
      <c r="B51">
        <v>28</v>
      </c>
      <c r="C51" t="s">
        <v>12</v>
      </c>
      <c r="D51" t="s">
        <v>93</v>
      </c>
      <c r="E51" t="s">
        <v>4</v>
      </c>
      <c r="F51" t="s">
        <v>3</v>
      </c>
      <c r="Q51" t="s">
        <v>92</v>
      </c>
      <c r="S51" t="s">
        <v>94</v>
      </c>
    </row>
    <row r="52" spans="1:19" x14ac:dyDescent="0.2">
      <c r="A52">
        <v>888710791</v>
      </c>
      <c r="B52">
        <v>12</v>
      </c>
      <c r="C52" t="s">
        <v>6</v>
      </c>
      <c r="D52" t="s">
        <v>91</v>
      </c>
      <c r="E52" t="s">
        <v>4</v>
      </c>
      <c r="F52" t="s">
        <v>3</v>
      </c>
      <c r="Q52" t="s">
        <v>90</v>
      </c>
      <c r="S52" t="s">
        <v>94</v>
      </c>
    </row>
    <row r="53" spans="1:19" x14ac:dyDescent="0.2">
      <c r="A53">
        <v>932610840</v>
      </c>
      <c r="B53">
        <v>13</v>
      </c>
      <c r="C53" t="s">
        <v>6</v>
      </c>
      <c r="D53" t="s">
        <v>89</v>
      </c>
      <c r="E53" t="s">
        <v>4</v>
      </c>
      <c r="F53" t="s">
        <v>3</v>
      </c>
      <c r="G53" t="s">
        <v>88</v>
      </c>
      <c r="I53" t="s">
        <v>87</v>
      </c>
      <c r="Q53" t="s">
        <v>86</v>
      </c>
      <c r="S53" t="s">
        <v>94</v>
      </c>
    </row>
    <row r="54" spans="1:19" x14ac:dyDescent="0.2">
      <c r="A54">
        <v>954410764</v>
      </c>
      <c r="B54">
        <v>19</v>
      </c>
      <c r="C54" t="s">
        <v>6</v>
      </c>
      <c r="D54" t="s">
        <v>85</v>
      </c>
      <c r="E54" t="s">
        <v>4</v>
      </c>
      <c r="F54" t="s">
        <v>3</v>
      </c>
      <c r="Q54" t="s">
        <v>84</v>
      </c>
      <c r="S54" t="s">
        <v>94</v>
      </c>
    </row>
    <row r="55" spans="1:19" x14ac:dyDescent="0.2">
      <c r="A55">
        <v>959010761</v>
      </c>
      <c r="B55">
        <v>9</v>
      </c>
      <c r="C55" t="s">
        <v>6</v>
      </c>
      <c r="D55" t="s">
        <v>83</v>
      </c>
      <c r="E55" t="s">
        <v>4</v>
      </c>
      <c r="F55" t="s">
        <v>3</v>
      </c>
      <c r="O55" t="s">
        <v>82</v>
      </c>
      <c r="Q55" t="s">
        <v>81</v>
      </c>
      <c r="S55" t="s">
        <v>94</v>
      </c>
    </row>
    <row r="56" spans="1:19" x14ac:dyDescent="0.2">
      <c r="A56">
        <v>1026210195</v>
      </c>
      <c r="B56">
        <v>37</v>
      </c>
      <c r="C56" t="s">
        <v>12</v>
      </c>
      <c r="D56" t="s">
        <v>80</v>
      </c>
      <c r="E56" t="s">
        <v>4</v>
      </c>
      <c r="F56" t="s">
        <v>3</v>
      </c>
      <c r="O56" t="s">
        <v>79</v>
      </c>
      <c r="Q56" t="s">
        <v>78</v>
      </c>
      <c r="S56" t="s">
        <v>94</v>
      </c>
    </row>
    <row r="57" spans="1:19" x14ac:dyDescent="0.2">
      <c r="A57">
        <v>1084310679</v>
      </c>
      <c r="B57">
        <v>14</v>
      </c>
      <c r="C57" t="s">
        <v>12</v>
      </c>
      <c r="D57" t="s">
        <v>77</v>
      </c>
      <c r="E57" t="s">
        <v>4</v>
      </c>
      <c r="F57" t="s">
        <v>3</v>
      </c>
      <c r="Q57" t="s">
        <v>76</v>
      </c>
      <c r="S57" t="s">
        <v>94</v>
      </c>
    </row>
    <row r="58" spans="1:19" x14ac:dyDescent="0.2">
      <c r="A58">
        <v>1086910999</v>
      </c>
      <c r="B58">
        <v>27</v>
      </c>
      <c r="C58" t="s">
        <v>12</v>
      </c>
      <c r="D58" t="s">
        <v>75</v>
      </c>
      <c r="E58" t="s">
        <v>4</v>
      </c>
      <c r="F58" t="s">
        <v>3</v>
      </c>
      <c r="Q58" t="s">
        <v>74</v>
      </c>
      <c r="S58" t="s">
        <v>94</v>
      </c>
    </row>
    <row r="59" spans="1:19" x14ac:dyDescent="0.2">
      <c r="A59">
        <v>1112310707</v>
      </c>
      <c r="B59">
        <v>17</v>
      </c>
      <c r="C59" t="s">
        <v>12</v>
      </c>
      <c r="D59" t="s">
        <v>73</v>
      </c>
      <c r="E59" t="s">
        <v>4</v>
      </c>
      <c r="F59" t="s">
        <v>3</v>
      </c>
      <c r="O59" t="s">
        <v>72</v>
      </c>
      <c r="Q59" t="s">
        <v>71</v>
      </c>
      <c r="S59" t="s">
        <v>94</v>
      </c>
    </row>
    <row r="60" spans="1:19" x14ac:dyDescent="0.2">
      <c r="A60">
        <v>1146710626</v>
      </c>
      <c r="B60">
        <v>9</v>
      </c>
      <c r="C60" t="s">
        <v>12</v>
      </c>
      <c r="D60" t="s">
        <v>70</v>
      </c>
      <c r="E60" t="s">
        <v>4</v>
      </c>
      <c r="F60" t="s">
        <v>3</v>
      </c>
      <c r="Q60" t="s">
        <v>69</v>
      </c>
      <c r="S60" t="s">
        <v>94</v>
      </c>
    </row>
    <row r="61" spans="1:19" x14ac:dyDescent="0.2">
      <c r="A61">
        <v>1244410740</v>
      </c>
      <c r="B61">
        <v>12</v>
      </c>
      <c r="C61" t="s">
        <v>6</v>
      </c>
      <c r="D61" t="s">
        <v>68</v>
      </c>
      <c r="E61" t="s">
        <v>4</v>
      </c>
      <c r="F61" t="s">
        <v>3</v>
      </c>
      <c r="Q61" t="s">
        <v>67</v>
      </c>
      <c r="S61" t="s">
        <v>94</v>
      </c>
    </row>
    <row r="62" spans="1:19" x14ac:dyDescent="0.2">
      <c r="A62">
        <v>1292410740</v>
      </c>
      <c r="B62">
        <v>29</v>
      </c>
      <c r="C62" t="s">
        <v>12</v>
      </c>
      <c r="D62" t="s">
        <v>66</v>
      </c>
      <c r="E62" t="s">
        <v>4</v>
      </c>
      <c r="F62" t="s">
        <v>3</v>
      </c>
      <c r="O62" t="s">
        <v>65</v>
      </c>
      <c r="Q62" t="s">
        <v>64</v>
      </c>
      <c r="S62" t="s">
        <v>94</v>
      </c>
    </row>
    <row r="63" spans="1:19" x14ac:dyDescent="0.2">
      <c r="A63">
        <v>1344710011</v>
      </c>
      <c r="B63">
        <v>4</v>
      </c>
      <c r="C63" t="s">
        <v>6</v>
      </c>
      <c r="D63" t="s">
        <v>63</v>
      </c>
      <c r="E63" t="s">
        <v>4</v>
      </c>
      <c r="F63" t="s">
        <v>3</v>
      </c>
      <c r="O63" t="s">
        <v>62</v>
      </c>
      <c r="Q63" t="s">
        <v>61</v>
      </c>
      <c r="S63" t="s">
        <v>94</v>
      </c>
    </row>
    <row r="64" spans="1:19" x14ac:dyDescent="0.2">
      <c r="A64">
        <v>1419010939</v>
      </c>
      <c r="B64">
        <v>16</v>
      </c>
      <c r="C64" t="s">
        <v>6</v>
      </c>
      <c r="D64" t="s">
        <v>60</v>
      </c>
      <c r="E64" t="s">
        <v>4</v>
      </c>
      <c r="F64" t="s">
        <v>3</v>
      </c>
      <c r="H64" t="s">
        <v>59</v>
      </c>
      <c r="Q64" t="s">
        <v>58</v>
      </c>
      <c r="S64" t="s">
        <v>94</v>
      </c>
    </row>
    <row r="65" spans="1:19" x14ac:dyDescent="0.2">
      <c r="A65">
        <v>1591110113</v>
      </c>
      <c r="B65">
        <v>3</v>
      </c>
      <c r="C65" t="s">
        <v>6</v>
      </c>
      <c r="D65" t="s">
        <v>57</v>
      </c>
      <c r="E65" t="s">
        <v>4</v>
      </c>
      <c r="F65" t="s">
        <v>3</v>
      </c>
      <c r="Q65" t="s">
        <v>56</v>
      </c>
      <c r="S65" t="s">
        <v>94</v>
      </c>
    </row>
    <row r="66" spans="1:19" x14ac:dyDescent="0.2">
      <c r="A66">
        <v>1654310321</v>
      </c>
      <c r="B66">
        <v>15</v>
      </c>
      <c r="C66" t="s">
        <v>12</v>
      </c>
      <c r="D66" t="s">
        <v>55</v>
      </c>
      <c r="E66" t="s">
        <v>4</v>
      </c>
      <c r="F66" t="s">
        <v>3</v>
      </c>
      <c r="O66" t="s">
        <v>54</v>
      </c>
      <c r="Q66" t="s">
        <v>53</v>
      </c>
      <c r="S66" t="s">
        <v>94</v>
      </c>
    </row>
    <row r="67" spans="1:19" x14ac:dyDescent="0.2">
      <c r="A67">
        <v>1697510114</v>
      </c>
      <c r="B67">
        <v>10</v>
      </c>
      <c r="C67" t="s">
        <v>12</v>
      </c>
      <c r="D67" t="s">
        <v>52</v>
      </c>
      <c r="E67" t="s">
        <v>4</v>
      </c>
      <c r="F67" t="s">
        <v>3</v>
      </c>
      <c r="Q67" t="s">
        <v>51</v>
      </c>
      <c r="S67" t="s">
        <v>94</v>
      </c>
    </row>
    <row r="68" spans="1:19" x14ac:dyDescent="0.2">
      <c r="A68">
        <v>1721910713</v>
      </c>
      <c r="B68">
        <v>12</v>
      </c>
      <c r="C68" t="s">
        <v>6</v>
      </c>
      <c r="D68" t="s">
        <v>50</v>
      </c>
      <c r="E68" t="s">
        <v>4</v>
      </c>
      <c r="F68" t="s">
        <v>3</v>
      </c>
      <c r="O68" t="s">
        <v>49</v>
      </c>
      <c r="Q68" t="s">
        <v>48</v>
      </c>
      <c r="S68" t="s">
        <v>94</v>
      </c>
    </row>
    <row r="69" spans="1:19" x14ac:dyDescent="0.2">
      <c r="A69">
        <v>1833510766</v>
      </c>
      <c r="B69">
        <v>4</v>
      </c>
      <c r="C69" t="s">
        <v>6</v>
      </c>
      <c r="D69" t="s">
        <v>47</v>
      </c>
      <c r="E69" t="s">
        <v>4</v>
      </c>
      <c r="F69" t="s">
        <v>3</v>
      </c>
      <c r="O69" t="s">
        <v>46</v>
      </c>
      <c r="Q69" t="s">
        <v>45</v>
      </c>
      <c r="S69" t="s">
        <v>94</v>
      </c>
    </row>
    <row r="70" spans="1:19" x14ac:dyDescent="0.2">
      <c r="A70">
        <v>1837010125</v>
      </c>
      <c r="B70">
        <v>12</v>
      </c>
      <c r="C70" t="s">
        <v>6</v>
      </c>
      <c r="D70" t="s">
        <v>44</v>
      </c>
      <c r="E70" t="s">
        <v>4</v>
      </c>
      <c r="F70" t="s">
        <v>3</v>
      </c>
      <c r="O70" t="s">
        <v>43</v>
      </c>
      <c r="Q70" t="s">
        <v>42</v>
      </c>
      <c r="S70" t="s">
        <v>94</v>
      </c>
    </row>
    <row r="71" spans="1:19" x14ac:dyDescent="0.2">
      <c r="A71">
        <v>1865510448</v>
      </c>
      <c r="B71">
        <v>13</v>
      </c>
      <c r="C71" t="s">
        <v>12</v>
      </c>
      <c r="D71" t="s">
        <v>41</v>
      </c>
      <c r="E71" t="s">
        <v>4</v>
      </c>
      <c r="F71" t="s">
        <v>3</v>
      </c>
      <c r="H71" t="s">
        <v>40</v>
      </c>
      <c r="Q71" t="s">
        <v>39</v>
      </c>
      <c r="S71" t="s">
        <v>94</v>
      </c>
    </row>
    <row r="72" spans="1:19" x14ac:dyDescent="0.2">
      <c r="A72">
        <v>2000210593</v>
      </c>
      <c r="B72">
        <v>7</v>
      </c>
      <c r="C72" t="s">
        <v>12</v>
      </c>
      <c r="D72" t="s">
        <v>37</v>
      </c>
      <c r="E72" t="s">
        <v>4</v>
      </c>
      <c r="F72" t="s">
        <v>3</v>
      </c>
      <c r="Q72" t="s">
        <v>36</v>
      </c>
      <c r="S72" t="s">
        <v>94</v>
      </c>
    </row>
    <row r="73" spans="1:19" x14ac:dyDescent="0.2">
      <c r="A73">
        <v>2062710552</v>
      </c>
      <c r="B73">
        <v>19</v>
      </c>
      <c r="C73" t="s">
        <v>12</v>
      </c>
      <c r="D73" t="s">
        <v>35</v>
      </c>
      <c r="E73" t="s">
        <v>4</v>
      </c>
      <c r="F73" t="s">
        <v>3</v>
      </c>
      <c r="O73" t="s">
        <v>34</v>
      </c>
      <c r="Q73" t="s">
        <v>33</v>
      </c>
      <c r="S73" t="s">
        <v>94</v>
      </c>
    </row>
    <row r="74" spans="1:19" x14ac:dyDescent="0.2">
      <c r="A74">
        <v>2072410974</v>
      </c>
      <c r="B74">
        <v>17</v>
      </c>
      <c r="C74" t="s">
        <v>12</v>
      </c>
      <c r="D74" t="s">
        <v>32</v>
      </c>
      <c r="E74" t="s">
        <v>4</v>
      </c>
      <c r="F74" t="s">
        <v>3</v>
      </c>
      <c r="O74" t="s">
        <v>31</v>
      </c>
      <c r="Q74" t="s">
        <v>30</v>
      </c>
      <c r="S74" t="s">
        <v>94</v>
      </c>
    </row>
    <row r="75" spans="1:19" x14ac:dyDescent="0.2">
      <c r="A75">
        <v>2196210387</v>
      </c>
      <c r="B75">
        <v>6</v>
      </c>
      <c r="C75" t="s">
        <v>12</v>
      </c>
      <c r="D75" t="s">
        <v>29</v>
      </c>
      <c r="E75" t="s">
        <v>4</v>
      </c>
      <c r="F75" t="s">
        <v>3</v>
      </c>
      <c r="Q75" t="s">
        <v>28</v>
      </c>
      <c r="S75" t="s">
        <v>94</v>
      </c>
    </row>
    <row r="76" spans="1:19" x14ac:dyDescent="0.2">
      <c r="A76">
        <v>2220510348</v>
      </c>
      <c r="B76">
        <v>19</v>
      </c>
      <c r="C76" t="s">
        <v>12</v>
      </c>
      <c r="D76" t="s">
        <v>27</v>
      </c>
      <c r="E76" t="s">
        <v>4</v>
      </c>
      <c r="F76" t="s">
        <v>3</v>
      </c>
      <c r="Q76" t="s">
        <v>26</v>
      </c>
      <c r="S76" t="s">
        <v>94</v>
      </c>
    </row>
    <row r="77" spans="1:19" x14ac:dyDescent="0.2">
      <c r="A77">
        <v>2353710622</v>
      </c>
      <c r="B77">
        <v>16</v>
      </c>
      <c r="C77" t="s">
        <v>6</v>
      </c>
      <c r="D77" t="s">
        <v>25</v>
      </c>
      <c r="E77" t="s">
        <v>4</v>
      </c>
      <c r="F77" t="s">
        <v>3</v>
      </c>
      <c r="G77" t="s">
        <v>24</v>
      </c>
      <c r="O77" t="s">
        <v>23</v>
      </c>
      <c r="Q77" t="s">
        <v>22</v>
      </c>
      <c r="S77" t="s">
        <v>94</v>
      </c>
    </row>
    <row r="78" spans="1:19" x14ac:dyDescent="0.2">
      <c r="A78">
        <v>2459710934</v>
      </c>
      <c r="B78">
        <v>3</v>
      </c>
      <c r="C78" t="s">
        <v>12</v>
      </c>
      <c r="D78" t="s">
        <v>21</v>
      </c>
      <c r="E78" t="s">
        <v>4</v>
      </c>
      <c r="F78" t="s">
        <v>3</v>
      </c>
      <c r="Q78" t="s">
        <v>20</v>
      </c>
      <c r="S78" t="s">
        <v>94</v>
      </c>
    </row>
    <row r="79" spans="1:19" x14ac:dyDescent="0.2">
      <c r="A79">
        <v>2625910670</v>
      </c>
      <c r="B79">
        <v>13</v>
      </c>
      <c r="C79" t="s">
        <v>6</v>
      </c>
      <c r="D79" t="s">
        <v>19</v>
      </c>
      <c r="E79" t="s">
        <v>4</v>
      </c>
      <c r="F79" t="s">
        <v>3</v>
      </c>
      <c r="O79" t="s">
        <v>18</v>
      </c>
      <c r="Q79" t="s">
        <v>17</v>
      </c>
      <c r="S79" t="s">
        <v>94</v>
      </c>
    </row>
    <row r="80" spans="1:19" x14ac:dyDescent="0.2">
      <c r="A80">
        <v>2850010979</v>
      </c>
      <c r="B80">
        <v>2</v>
      </c>
      <c r="C80" t="s">
        <v>12</v>
      </c>
      <c r="D80" t="s">
        <v>16</v>
      </c>
      <c r="E80" t="s">
        <v>4</v>
      </c>
      <c r="F80" t="s">
        <v>3</v>
      </c>
      <c r="Q80" t="s">
        <v>15</v>
      </c>
      <c r="S80" t="s">
        <v>94</v>
      </c>
    </row>
    <row r="81" spans="1:19" x14ac:dyDescent="0.2">
      <c r="A81">
        <v>2990210861</v>
      </c>
      <c r="B81">
        <v>1</v>
      </c>
      <c r="C81" t="s">
        <v>12</v>
      </c>
      <c r="D81" t="s">
        <v>14</v>
      </c>
      <c r="E81" t="s">
        <v>4</v>
      </c>
      <c r="F81" t="s">
        <v>3</v>
      </c>
      <c r="Q81" t="s">
        <v>13</v>
      </c>
      <c r="S81" t="s">
        <v>94</v>
      </c>
    </row>
    <row r="82" spans="1:19" x14ac:dyDescent="0.2">
      <c r="A82">
        <v>3525210465</v>
      </c>
      <c r="B82">
        <v>53</v>
      </c>
      <c r="C82" t="s">
        <v>12</v>
      </c>
      <c r="D82" t="s">
        <v>11</v>
      </c>
      <c r="E82" t="s">
        <v>4</v>
      </c>
      <c r="F82" t="s">
        <v>3</v>
      </c>
      <c r="O82" t="s">
        <v>10</v>
      </c>
      <c r="Q82" t="s">
        <v>9</v>
      </c>
      <c r="S82" t="s">
        <v>94</v>
      </c>
    </row>
    <row r="83" spans="1:19" x14ac:dyDescent="0.2">
      <c r="A83">
        <v>3782210815</v>
      </c>
      <c r="B83">
        <v>43</v>
      </c>
      <c r="C83" t="s">
        <v>6</v>
      </c>
      <c r="D83" t="s">
        <v>8</v>
      </c>
      <c r="E83" t="s">
        <v>4</v>
      </c>
      <c r="F83" t="s">
        <v>3</v>
      </c>
      <c r="Q83" t="s">
        <v>7</v>
      </c>
      <c r="S83" t="s">
        <v>94</v>
      </c>
    </row>
    <row r="84" spans="1:19" x14ac:dyDescent="0.2">
      <c r="A84">
        <v>4946010229</v>
      </c>
      <c r="B84">
        <v>5</v>
      </c>
      <c r="C84" t="s">
        <v>6</v>
      </c>
      <c r="D84" t="s">
        <v>5</v>
      </c>
      <c r="E84" t="s">
        <v>4</v>
      </c>
      <c r="F84" t="s">
        <v>3</v>
      </c>
      <c r="O84" t="s">
        <v>2</v>
      </c>
      <c r="Q84" t="s">
        <v>1</v>
      </c>
      <c r="S84" t="s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D693-AA8C-6A4D-8B8E-4661B1CA8930}">
  <dimension ref="A3:B5"/>
  <sheetViews>
    <sheetView workbookViewId="0">
      <selection activeCell="A3" sqref="A3"/>
    </sheetView>
  </sheetViews>
  <sheetFormatPr baseColWidth="10" defaultRowHeight="16" x14ac:dyDescent="0.2"/>
  <cols>
    <col min="1" max="2" width="13" bestFit="1" customWidth="1"/>
  </cols>
  <sheetData>
    <row r="3" spans="1:2" x14ac:dyDescent="0.2">
      <c r="A3" s="1" t="s">
        <v>321</v>
      </c>
      <c r="B3" t="s">
        <v>325</v>
      </c>
    </row>
    <row r="4" spans="1:2" x14ac:dyDescent="0.2">
      <c r="A4" s="2" t="s">
        <v>94</v>
      </c>
      <c r="B4">
        <v>83</v>
      </c>
    </row>
    <row r="5" spans="1:2" x14ac:dyDescent="0.2">
      <c r="A5" s="2" t="s">
        <v>322</v>
      </c>
      <c r="B5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B756-9EA5-6C44-9E15-7A087966E945}">
  <dimension ref="A1:I84"/>
  <sheetViews>
    <sheetView workbookViewId="0">
      <selection activeCell="K15" sqref="K15"/>
    </sheetView>
  </sheetViews>
  <sheetFormatPr baseColWidth="10" defaultRowHeight="16" x14ac:dyDescent="0.2"/>
  <cols>
    <col min="9" max="9" width="12.1640625" bestFit="1" customWidth="1"/>
  </cols>
  <sheetData>
    <row r="1" spans="1:9" x14ac:dyDescent="0.2">
      <c r="A1" t="s">
        <v>259</v>
      </c>
      <c r="B1" t="s">
        <v>258</v>
      </c>
      <c r="C1" t="s">
        <v>257</v>
      </c>
      <c r="D1" t="s">
        <v>246</v>
      </c>
      <c r="E1" t="s">
        <v>320</v>
      </c>
      <c r="F1" t="s">
        <v>319</v>
      </c>
      <c r="G1" t="s">
        <v>318</v>
      </c>
      <c r="H1" t="s">
        <v>317</v>
      </c>
      <c r="I1" t="s">
        <v>316</v>
      </c>
    </row>
    <row r="2" spans="1:9" x14ac:dyDescent="0.2">
      <c r="A2">
        <v>643110884</v>
      </c>
      <c r="B2">
        <v>50</v>
      </c>
      <c r="C2" t="s">
        <v>12</v>
      </c>
      <c r="E2" t="s">
        <v>293</v>
      </c>
      <c r="F2" t="s">
        <v>289</v>
      </c>
      <c r="G2" t="s">
        <v>274</v>
      </c>
      <c r="H2" t="s">
        <v>273</v>
      </c>
      <c r="I2" t="s">
        <v>0</v>
      </c>
    </row>
    <row r="3" spans="1:9" x14ac:dyDescent="0.2">
      <c r="A3">
        <v>706710306</v>
      </c>
      <c r="B3">
        <v>48</v>
      </c>
      <c r="C3" t="s">
        <v>12</v>
      </c>
      <c r="E3" t="s">
        <v>315</v>
      </c>
      <c r="F3" t="s">
        <v>275</v>
      </c>
      <c r="G3" t="s">
        <v>273</v>
      </c>
      <c r="H3" t="s">
        <v>273</v>
      </c>
      <c r="I3" t="s">
        <v>38</v>
      </c>
    </row>
    <row r="4" spans="1:9" x14ac:dyDescent="0.2">
      <c r="A4">
        <v>384210994</v>
      </c>
      <c r="B4">
        <v>30</v>
      </c>
      <c r="C4" t="s">
        <v>12</v>
      </c>
      <c r="F4" t="s">
        <v>275</v>
      </c>
      <c r="G4" t="s">
        <v>274</v>
      </c>
      <c r="H4" t="s">
        <v>273</v>
      </c>
      <c r="I4" t="s">
        <v>0</v>
      </c>
    </row>
    <row r="5" spans="1:9" x14ac:dyDescent="0.2">
      <c r="A5">
        <v>1502010397</v>
      </c>
      <c r="B5">
        <v>15</v>
      </c>
      <c r="C5" t="s">
        <v>12</v>
      </c>
      <c r="E5" t="s">
        <v>293</v>
      </c>
      <c r="F5" t="s">
        <v>314</v>
      </c>
      <c r="G5" t="s">
        <v>274</v>
      </c>
      <c r="H5" t="s">
        <v>273</v>
      </c>
      <c r="I5" t="s">
        <v>0</v>
      </c>
    </row>
    <row r="6" spans="1:9" x14ac:dyDescent="0.2">
      <c r="A6">
        <v>503810366</v>
      </c>
      <c r="B6">
        <v>72</v>
      </c>
      <c r="C6" t="s">
        <v>12</v>
      </c>
      <c r="E6" t="s">
        <v>313</v>
      </c>
      <c r="F6" t="s">
        <v>275</v>
      </c>
      <c r="G6" t="s">
        <v>274</v>
      </c>
      <c r="H6" t="s">
        <v>273</v>
      </c>
      <c r="I6" t="s">
        <v>0</v>
      </c>
    </row>
    <row r="7" spans="1:9" x14ac:dyDescent="0.2">
      <c r="A7">
        <v>5282710166</v>
      </c>
      <c r="B7">
        <v>22</v>
      </c>
      <c r="C7" t="s">
        <v>12</v>
      </c>
      <c r="E7" t="s">
        <v>312</v>
      </c>
      <c r="F7" t="s">
        <v>311</v>
      </c>
      <c r="G7" t="s">
        <v>273</v>
      </c>
      <c r="H7" t="s">
        <v>273</v>
      </c>
      <c r="I7" t="s">
        <v>38</v>
      </c>
    </row>
    <row r="8" spans="1:9" x14ac:dyDescent="0.2">
      <c r="A8">
        <v>153910595</v>
      </c>
      <c r="B8">
        <v>60</v>
      </c>
      <c r="C8" t="s">
        <v>12</v>
      </c>
      <c r="D8" t="s">
        <v>310</v>
      </c>
      <c r="E8" t="s">
        <v>309</v>
      </c>
      <c r="F8" t="s">
        <v>274</v>
      </c>
      <c r="G8" t="s">
        <v>274</v>
      </c>
      <c r="H8" t="s">
        <v>274</v>
      </c>
      <c r="I8" t="s">
        <v>94</v>
      </c>
    </row>
    <row r="9" spans="1:9" x14ac:dyDescent="0.2">
      <c r="A9">
        <v>239110163</v>
      </c>
      <c r="B9">
        <v>11</v>
      </c>
      <c r="C9" t="s">
        <v>6</v>
      </c>
      <c r="E9" t="s">
        <v>303</v>
      </c>
      <c r="F9" t="s">
        <v>296</v>
      </c>
      <c r="G9" t="s">
        <v>273</v>
      </c>
      <c r="H9" t="s">
        <v>273</v>
      </c>
      <c r="I9" t="s">
        <v>38</v>
      </c>
    </row>
    <row r="10" spans="1:9" x14ac:dyDescent="0.2">
      <c r="A10">
        <v>258510963</v>
      </c>
      <c r="B10">
        <v>48</v>
      </c>
      <c r="C10" t="s">
        <v>12</v>
      </c>
      <c r="F10" t="s">
        <v>275</v>
      </c>
      <c r="G10" t="s">
        <v>274</v>
      </c>
      <c r="H10" t="s">
        <v>273</v>
      </c>
      <c r="I10" t="s">
        <v>0</v>
      </c>
    </row>
    <row r="11" spans="1:9" x14ac:dyDescent="0.2">
      <c r="A11">
        <v>366910461</v>
      </c>
      <c r="B11">
        <v>15</v>
      </c>
      <c r="C11" t="s">
        <v>12</v>
      </c>
      <c r="F11" t="s">
        <v>289</v>
      </c>
      <c r="G11" t="s">
        <v>274</v>
      </c>
      <c r="H11" t="s">
        <v>273</v>
      </c>
      <c r="I11" t="s">
        <v>0</v>
      </c>
    </row>
    <row r="12" spans="1:9" x14ac:dyDescent="0.2">
      <c r="A12">
        <v>592410349</v>
      </c>
      <c r="B12">
        <v>21</v>
      </c>
      <c r="C12" t="s">
        <v>12</v>
      </c>
      <c r="E12" t="s">
        <v>308</v>
      </c>
      <c r="F12" t="s">
        <v>307</v>
      </c>
      <c r="G12" t="s">
        <v>274</v>
      </c>
      <c r="H12" t="s">
        <v>273</v>
      </c>
      <c r="I12" t="s">
        <v>0</v>
      </c>
    </row>
    <row r="13" spans="1:9" x14ac:dyDescent="0.2">
      <c r="A13">
        <v>1094310233</v>
      </c>
      <c r="B13">
        <v>4</v>
      </c>
      <c r="C13" t="s">
        <v>12</v>
      </c>
      <c r="E13" t="s">
        <v>306</v>
      </c>
      <c r="F13" t="s">
        <v>305</v>
      </c>
      <c r="G13" t="s">
        <v>274</v>
      </c>
      <c r="H13" t="s">
        <v>273</v>
      </c>
      <c r="I13" t="s">
        <v>0</v>
      </c>
    </row>
    <row r="14" spans="1:9" x14ac:dyDescent="0.2">
      <c r="A14">
        <v>1237910593</v>
      </c>
      <c r="B14">
        <v>4</v>
      </c>
      <c r="C14" t="s">
        <v>12</v>
      </c>
      <c r="E14" t="s">
        <v>278</v>
      </c>
      <c r="F14" t="s">
        <v>304</v>
      </c>
      <c r="G14" t="s">
        <v>273</v>
      </c>
      <c r="H14" t="s">
        <v>273</v>
      </c>
      <c r="I14" t="s">
        <v>38</v>
      </c>
    </row>
    <row r="15" spans="1:9" x14ac:dyDescent="0.2">
      <c r="A15">
        <v>70210987</v>
      </c>
      <c r="B15">
        <v>75</v>
      </c>
      <c r="C15" t="s">
        <v>12</v>
      </c>
      <c r="F15" t="s">
        <v>274</v>
      </c>
      <c r="G15" t="s">
        <v>274</v>
      </c>
      <c r="H15" t="s">
        <v>274</v>
      </c>
      <c r="I15" t="s">
        <v>94</v>
      </c>
    </row>
    <row r="16" spans="1:9" x14ac:dyDescent="0.2">
      <c r="A16">
        <v>87610928</v>
      </c>
      <c r="B16">
        <v>14</v>
      </c>
      <c r="C16" t="s">
        <v>12</v>
      </c>
      <c r="E16" t="s">
        <v>303</v>
      </c>
      <c r="F16" t="s">
        <v>289</v>
      </c>
      <c r="G16" t="s">
        <v>273</v>
      </c>
      <c r="H16" t="s">
        <v>273</v>
      </c>
      <c r="I16" t="s">
        <v>38</v>
      </c>
    </row>
    <row r="17" spans="1:9" x14ac:dyDescent="0.2">
      <c r="A17">
        <v>92810885</v>
      </c>
      <c r="B17">
        <v>24</v>
      </c>
      <c r="C17" t="s">
        <v>12</v>
      </c>
      <c r="E17" t="s">
        <v>276</v>
      </c>
      <c r="F17" t="s">
        <v>289</v>
      </c>
      <c r="G17" t="s">
        <v>273</v>
      </c>
      <c r="H17" t="s">
        <v>273</v>
      </c>
      <c r="I17" t="s">
        <v>38</v>
      </c>
    </row>
    <row r="18" spans="1:9" x14ac:dyDescent="0.2">
      <c r="A18">
        <v>129310347</v>
      </c>
      <c r="B18">
        <v>30</v>
      </c>
      <c r="C18" t="s">
        <v>12</v>
      </c>
      <c r="E18" t="s">
        <v>302</v>
      </c>
      <c r="F18" t="s">
        <v>289</v>
      </c>
      <c r="G18" t="s">
        <v>273</v>
      </c>
      <c r="H18" t="s">
        <v>273</v>
      </c>
      <c r="I18" t="s">
        <v>38</v>
      </c>
    </row>
    <row r="19" spans="1:9" x14ac:dyDescent="0.2">
      <c r="A19">
        <v>214510962</v>
      </c>
      <c r="B19">
        <v>67</v>
      </c>
      <c r="C19" t="s">
        <v>6</v>
      </c>
      <c r="F19" t="s">
        <v>275</v>
      </c>
      <c r="G19" t="s">
        <v>274</v>
      </c>
      <c r="H19" t="s">
        <v>273</v>
      </c>
      <c r="I19" t="s">
        <v>0</v>
      </c>
    </row>
    <row r="20" spans="1:9" x14ac:dyDescent="0.2">
      <c r="A20">
        <v>319810053</v>
      </c>
      <c r="B20">
        <v>13</v>
      </c>
      <c r="C20" t="s">
        <v>12</v>
      </c>
      <c r="E20" t="s">
        <v>278</v>
      </c>
      <c r="F20" t="s">
        <v>301</v>
      </c>
      <c r="G20" t="s">
        <v>273</v>
      </c>
      <c r="H20" t="s">
        <v>273</v>
      </c>
      <c r="I20" t="s">
        <v>38</v>
      </c>
    </row>
    <row r="21" spans="1:9" x14ac:dyDescent="0.2">
      <c r="A21">
        <v>358110249</v>
      </c>
      <c r="B21">
        <v>40</v>
      </c>
      <c r="C21" t="s">
        <v>12</v>
      </c>
      <c r="E21" t="s">
        <v>300</v>
      </c>
      <c r="F21" t="s">
        <v>299</v>
      </c>
      <c r="G21" t="s">
        <v>273</v>
      </c>
      <c r="H21" t="s">
        <v>273</v>
      </c>
      <c r="I21" t="s">
        <v>38</v>
      </c>
    </row>
    <row r="22" spans="1:9" x14ac:dyDescent="0.2">
      <c r="A22">
        <v>795410971</v>
      </c>
      <c r="B22">
        <v>2</v>
      </c>
      <c r="C22" t="s">
        <v>6</v>
      </c>
      <c r="F22" t="s">
        <v>274</v>
      </c>
      <c r="G22" t="s">
        <v>274</v>
      </c>
      <c r="H22" t="s">
        <v>274</v>
      </c>
      <c r="I22" t="s">
        <v>94</v>
      </c>
    </row>
    <row r="23" spans="1:9" x14ac:dyDescent="0.2">
      <c r="A23">
        <v>826210737</v>
      </c>
      <c r="B23">
        <v>3</v>
      </c>
      <c r="C23" t="s">
        <v>6</v>
      </c>
      <c r="F23" t="s">
        <v>290</v>
      </c>
      <c r="G23" t="s">
        <v>274</v>
      </c>
      <c r="H23" t="s">
        <v>273</v>
      </c>
      <c r="I23" t="s">
        <v>0</v>
      </c>
    </row>
    <row r="24" spans="1:9" x14ac:dyDescent="0.2">
      <c r="A24">
        <v>831210567</v>
      </c>
      <c r="B24">
        <v>40</v>
      </c>
      <c r="C24" t="s">
        <v>12</v>
      </c>
      <c r="E24" t="s">
        <v>298</v>
      </c>
      <c r="F24" t="s">
        <v>297</v>
      </c>
      <c r="G24" t="s">
        <v>273</v>
      </c>
      <c r="H24" t="s">
        <v>273</v>
      </c>
      <c r="I24" t="s">
        <v>38</v>
      </c>
    </row>
    <row r="25" spans="1:9" x14ac:dyDescent="0.2">
      <c r="A25">
        <v>880910162</v>
      </c>
      <c r="B25">
        <v>28</v>
      </c>
      <c r="C25" t="s">
        <v>12</v>
      </c>
      <c r="F25" t="s">
        <v>279</v>
      </c>
      <c r="G25" t="s">
        <v>274</v>
      </c>
      <c r="H25" t="s">
        <v>273</v>
      </c>
      <c r="I25" t="s">
        <v>0</v>
      </c>
    </row>
    <row r="26" spans="1:9" x14ac:dyDescent="0.2">
      <c r="A26">
        <v>1141710321</v>
      </c>
      <c r="B26">
        <v>15</v>
      </c>
      <c r="C26" t="s">
        <v>6</v>
      </c>
      <c r="F26" t="s">
        <v>275</v>
      </c>
      <c r="G26" t="s">
        <v>274</v>
      </c>
      <c r="H26" t="s">
        <v>273</v>
      </c>
      <c r="I26" t="s">
        <v>0</v>
      </c>
    </row>
    <row r="27" spans="1:9" x14ac:dyDescent="0.2">
      <c r="A27">
        <v>1341410118</v>
      </c>
      <c r="B27">
        <v>44</v>
      </c>
      <c r="C27" t="s">
        <v>12</v>
      </c>
      <c r="E27" t="s">
        <v>277</v>
      </c>
      <c r="F27" t="s">
        <v>296</v>
      </c>
      <c r="G27" t="s">
        <v>273</v>
      </c>
      <c r="H27" t="s">
        <v>273</v>
      </c>
      <c r="I27" t="s">
        <v>38</v>
      </c>
    </row>
    <row r="28" spans="1:9" x14ac:dyDescent="0.2">
      <c r="A28">
        <v>1500410756</v>
      </c>
      <c r="B28">
        <v>45</v>
      </c>
      <c r="C28" t="s">
        <v>12</v>
      </c>
      <c r="F28" t="s">
        <v>275</v>
      </c>
      <c r="G28" t="s">
        <v>274</v>
      </c>
      <c r="H28" t="s">
        <v>273</v>
      </c>
      <c r="I28" t="s">
        <v>0</v>
      </c>
    </row>
    <row r="29" spans="1:9" x14ac:dyDescent="0.2">
      <c r="A29">
        <v>1591110113</v>
      </c>
      <c r="B29">
        <v>3</v>
      </c>
      <c r="C29" t="s">
        <v>6</v>
      </c>
      <c r="F29" t="s">
        <v>289</v>
      </c>
      <c r="G29" t="s">
        <v>274</v>
      </c>
      <c r="H29" t="s">
        <v>273</v>
      </c>
      <c r="I29" t="s">
        <v>0</v>
      </c>
    </row>
    <row r="30" spans="1:9" x14ac:dyDescent="0.2">
      <c r="A30">
        <v>1654310321</v>
      </c>
      <c r="B30">
        <v>15</v>
      </c>
      <c r="C30" t="s">
        <v>12</v>
      </c>
      <c r="E30" t="s">
        <v>295</v>
      </c>
      <c r="F30" t="s">
        <v>279</v>
      </c>
      <c r="G30" t="s">
        <v>274</v>
      </c>
      <c r="H30" t="s">
        <v>273</v>
      </c>
      <c r="I30" t="s">
        <v>0</v>
      </c>
    </row>
    <row r="31" spans="1:9" x14ac:dyDescent="0.2">
      <c r="A31">
        <v>1794710300</v>
      </c>
      <c r="B31">
        <v>48</v>
      </c>
      <c r="C31" t="s">
        <v>6</v>
      </c>
      <c r="E31" t="s">
        <v>294</v>
      </c>
      <c r="F31" t="s">
        <v>279</v>
      </c>
      <c r="G31" t="s">
        <v>273</v>
      </c>
      <c r="H31" t="s">
        <v>273</v>
      </c>
      <c r="I31" t="s">
        <v>38</v>
      </c>
    </row>
    <row r="32" spans="1:9" x14ac:dyDescent="0.2">
      <c r="A32">
        <v>1837010125</v>
      </c>
      <c r="B32">
        <v>12</v>
      </c>
      <c r="C32" t="s">
        <v>6</v>
      </c>
      <c r="E32" t="s">
        <v>293</v>
      </c>
      <c r="F32" t="s">
        <v>289</v>
      </c>
      <c r="G32" t="s">
        <v>274</v>
      </c>
      <c r="H32" t="s">
        <v>273</v>
      </c>
      <c r="I32" t="s">
        <v>0</v>
      </c>
    </row>
    <row r="33" spans="1:9" x14ac:dyDescent="0.2">
      <c r="A33">
        <v>1865510448</v>
      </c>
      <c r="B33">
        <v>13</v>
      </c>
      <c r="C33" t="s">
        <v>12</v>
      </c>
      <c r="F33" t="s">
        <v>279</v>
      </c>
      <c r="G33" t="s">
        <v>274</v>
      </c>
      <c r="H33" t="s">
        <v>273</v>
      </c>
      <c r="I33" t="s">
        <v>0</v>
      </c>
    </row>
    <row r="34" spans="1:9" x14ac:dyDescent="0.2">
      <c r="A34">
        <v>2000210593</v>
      </c>
      <c r="B34">
        <v>7</v>
      </c>
      <c r="C34" t="s">
        <v>12</v>
      </c>
      <c r="F34" t="s">
        <v>275</v>
      </c>
      <c r="G34" t="s">
        <v>274</v>
      </c>
      <c r="H34" t="s">
        <v>273</v>
      </c>
      <c r="I34" t="s">
        <v>0</v>
      </c>
    </row>
    <row r="35" spans="1:9" x14ac:dyDescent="0.2">
      <c r="A35">
        <v>2062710552</v>
      </c>
      <c r="B35">
        <v>19</v>
      </c>
      <c r="C35" t="s">
        <v>12</v>
      </c>
      <c r="E35" t="s">
        <v>292</v>
      </c>
      <c r="F35" t="s">
        <v>289</v>
      </c>
      <c r="G35" t="s">
        <v>274</v>
      </c>
      <c r="H35" t="s">
        <v>273</v>
      </c>
      <c r="I35" t="s">
        <v>0</v>
      </c>
    </row>
    <row r="36" spans="1:9" x14ac:dyDescent="0.2">
      <c r="A36">
        <v>2072410974</v>
      </c>
      <c r="B36">
        <v>17</v>
      </c>
      <c r="C36" t="s">
        <v>12</v>
      </c>
      <c r="E36" t="s">
        <v>291</v>
      </c>
      <c r="F36" t="s">
        <v>279</v>
      </c>
      <c r="G36" t="s">
        <v>274</v>
      </c>
      <c r="H36" t="s">
        <v>273</v>
      </c>
      <c r="I36" t="s">
        <v>0</v>
      </c>
    </row>
    <row r="37" spans="1:9" x14ac:dyDescent="0.2">
      <c r="A37">
        <v>2196210387</v>
      </c>
      <c r="B37">
        <v>6</v>
      </c>
      <c r="C37" t="s">
        <v>12</v>
      </c>
      <c r="F37" t="s">
        <v>290</v>
      </c>
      <c r="G37" t="s">
        <v>274</v>
      </c>
      <c r="H37" t="s">
        <v>273</v>
      </c>
      <c r="I37" t="s">
        <v>0</v>
      </c>
    </row>
    <row r="38" spans="1:9" x14ac:dyDescent="0.2">
      <c r="A38">
        <v>2220510348</v>
      </c>
      <c r="B38">
        <v>19</v>
      </c>
      <c r="C38" t="s">
        <v>12</v>
      </c>
      <c r="F38" t="s">
        <v>289</v>
      </c>
      <c r="G38" t="s">
        <v>274</v>
      </c>
      <c r="H38" t="s">
        <v>273</v>
      </c>
      <c r="I38" t="s">
        <v>0</v>
      </c>
    </row>
    <row r="39" spans="1:9" x14ac:dyDescent="0.2">
      <c r="A39">
        <v>2289610265</v>
      </c>
      <c r="B39">
        <v>55</v>
      </c>
      <c r="C39" t="s">
        <v>12</v>
      </c>
      <c r="E39" t="s">
        <v>288</v>
      </c>
      <c r="F39" t="s">
        <v>285</v>
      </c>
      <c r="G39" t="s">
        <v>273</v>
      </c>
      <c r="H39" t="s">
        <v>273</v>
      </c>
      <c r="I39" t="s">
        <v>38</v>
      </c>
    </row>
    <row r="40" spans="1:9" x14ac:dyDescent="0.2">
      <c r="A40">
        <v>2408010495</v>
      </c>
      <c r="B40">
        <v>40</v>
      </c>
      <c r="C40" t="s">
        <v>12</v>
      </c>
      <c r="F40" t="s">
        <v>283</v>
      </c>
      <c r="G40" t="s">
        <v>274</v>
      </c>
      <c r="H40" t="s">
        <v>273</v>
      </c>
      <c r="I40" t="s">
        <v>0</v>
      </c>
    </row>
    <row r="41" spans="1:9" x14ac:dyDescent="0.2">
      <c r="A41">
        <v>2588010777</v>
      </c>
      <c r="B41">
        <v>68</v>
      </c>
      <c r="C41" t="s">
        <v>12</v>
      </c>
      <c r="F41" t="s">
        <v>287</v>
      </c>
      <c r="G41" t="s">
        <v>274</v>
      </c>
      <c r="H41" t="s">
        <v>273</v>
      </c>
      <c r="I41" t="s">
        <v>0</v>
      </c>
    </row>
    <row r="42" spans="1:9" x14ac:dyDescent="0.2">
      <c r="A42">
        <v>2603410756</v>
      </c>
      <c r="B42">
        <v>13</v>
      </c>
      <c r="C42" t="s">
        <v>12</v>
      </c>
      <c r="F42" t="s">
        <v>279</v>
      </c>
      <c r="G42" t="s">
        <v>274</v>
      </c>
      <c r="H42" t="s">
        <v>273</v>
      </c>
      <c r="I42" t="s">
        <v>0</v>
      </c>
    </row>
    <row r="43" spans="1:9" x14ac:dyDescent="0.2">
      <c r="A43">
        <v>2650010991</v>
      </c>
      <c r="B43">
        <v>64</v>
      </c>
      <c r="C43" t="s">
        <v>12</v>
      </c>
      <c r="E43" t="s">
        <v>286</v>
      </c>
      <c r="F43" t="s">
        <v>285</v>
      </c>
      <c r="G43" t="s">
        <v>273</v>
      </c>
      <c r="H43" t="s">
        <v>273</v>
      </c>
      <c r="I43" t="s">
        <v>38</v>
      </c>
    </row>
    <row r="44" spans="1:9" x14ac:dyDescent="0.2">
      <c r="A44">
        <v>2750010526</v>
      </c>
      <c r="B44">
        <v>21</v>
      </c>
      <c r="C44" t="s">
        <v>12</v>
      </c>
      <c r="F44" t="s">
        <v>279</v>
      </c>
      <c r="G44" t="s">
        <v>274</v>
      </c>
      <c r="H44" t="s">
        <v>273</v>
      </c>
      <c r="I44" t="s">
        <v>0</v>
      </c>
    </row>
    <row r="45" spans="1:9" x14ac:dyDescent="0.2">
      <c r="A45">
        <v>2795810237</v>
      </c>
      <c r="B45">
        <v>35</v>
      </c>
      <c r="C45" t="s">
        <v>6</v>
      </c>
      <c r="F45" t="s">
        <v>285</v>
      </c>
      <c r="G45" t="s">
        <v>274</v>
      </c>
      <c r="H45" t="s">
        <v>273</v>
      </c>
      <c r="I45" t="s">
        <v>0</v>
      </c>
    </row>
    <row r="46" spans="1:9" x14ac:dyDescent="0.2">
      <c r="A46">
        <v>2898710328</v>
      </c>
      <c r="B46">
        <v>48</v>
      </c>
      <c r="C46" t="s">
        <v>6</v>
      </c>
      <c r="E46" t="s">
        <v>284</v>
      </c>
      <c r="F46" t="s">
        <v>275</v>
      </c>
      <c r="G46" t="s">
        <v>274</v>
      </c>
      <c r="H46" t="s">
        <v>273</v>
      </c>
      <c r="I46" t="s">
        <v>0</v>
      </c>
    </row>
    <row r="47" spans="1:9" x14ac:dyDescent="0.2">
      <c r="A47">
        <v>3163110262</v>
      </c>
      <c r="B47">
        <v>34</v>
      </c>
      <c r="C47" t="s">
        <v>6</v>
      </c>
      <c r="E47" t="s">
        <v>278</v>
      </c>
      <c r="F47" t="s">
        <v>279</v>
      </c>
      <c r="G47" t="s">
        <v>273</v>
      </c>
      <c r="H47" t="s">
        <v>273</v>
      </c>
      <c r="I47" t="s">
        <v>38</v>
      </c>
    </row>
    <row r="48" spans="1:9" x14ac:dyDescent="0.2">
      <c r="A48">
        <v>3224410196</v>
      </c>
      <c r="B48">
        <v>45</v>
      </c>
      <c r="C48" t="s">
        <v>12</v>
      </c>
      <c r="E48" t="s">
        <v>278</v>
      </c>
      <c r="F48" t="s">
        <v>275</v>
      </c>
      <c r="G48" t="s">
        <v>273</v>
      </c>
      <c r="H48" t="s">
        <v>273</v>
      </c>
      <c r="I48" t="s">
        <v>38</v>
      </c>
    </row>
    <row r="49" spans="1:9" x14ac:dyDescent="0.2">
      <c r="A49">
        <v>3270910123</v>
      </c>
      <c r="B49">
        <v>54</v>
      </c>
      <c r="C49" t="s">
        <v>6</v>
      </c>
      <c r="F49" t="s">
        <v>279</v>
      </c>
      <c r="G49" t="s">
        <v>274</v>
      </c>
      <c r="H49" t="s">
        <v>273</v>
      </c>
      <c r="I49" t="s">
        <v>0</v>
      </c>
    </row>
    <row r="50" spans="1:9" x14ac:dyDescent="0.2">
      <c r="A50">
        <v>3381610408</v>
      </c>
      <c r="B50">
        <v>38</v>
      </c>
      <c r="C50" t="s">
        <v>12</v>
      </c>
      <c r="E50" t="s">
        <v>277</v>
      </c>
      <c r="F50" t="s">
        <v>283</v>
      </c>
      <c r="G50" t="s">
        <v>273</v>
      </c>
      <c r="H50" t="s">
        <v>273</v>
      </c>
      <c r="I50" t="s">
        <v>38</v>
      </c>
    </row>
    <row r="51" spans="1:9" x14ac:dyDescent="0.2">
      <c r="A51">
        <v>3481210217</v>
      </c>
      <c r="B51">
        <v>12</v>
      </c>
      <c r="C51" t="s">
        <v>12</v>
      </c>
      <c r="F51" t="s">
        <v>275</v>
      </c>
      <c r="G51" t="s">
        <v>274</v>
      </c>
      <c r="H51" t="s">
        <v>273</v>
      </c>
      <c r="I51" t="s">
        <v>0</v>
      </c>
    </row>
    <row r="52" spans="1:9" x14ac:dyDescent="0.2">
      <c r="A52">
        <v>3591910263</v>
      </c>
      <c r="B52">
        <v>36</v>
      </c>
      <c r="C52" t="s">
        <v>6</v>
      </c>
      <c r="F52" t="s">
        <v>279</v>
      </c>
      <c r="G52" t="s">
        <v>274</v>
      </c>
      <c r="H52" t="s">
        <v>273</v>
      </c>
      <c r="I52" t="s">
        <v>0</v>
      </c>
    </row>
    <row r="53" spans="1:9" x14ac:dyDescent="0.2">
      <c r="A53">
        <v>3704610141</v>
      </c>
      <c r="B53">
        <v>47</v>
      </c>
      <c r="C53" t="s">
        <v>6</v>
      </c>
      <c r="E53" t="s">
        <v>276</v>
      </c>
      <c r="F53" t="s">
        <v>275</v>
      </c>
      <c r="G53" t="s">
        <v>273</v>
      </c>
      <c r="H53" t="s">
        <v>273</v>
      </c>
      <c r="I53" t="s">
        <v>38</v>
      </c>
    </row>
    <row r="54" spans="1:9" x14ac:dyDescent="0.2">
      <c r="A54">
        <v>3772110243</v>
      </c>
      <c r="B54">
        <v>50</v>
      </c>
      <c r="C54" t="s">
        <v>12</v>
      </c>
      <c r="F54" t="s">
        <v>275</v>
      </c>
      <c r="G54" t="s">
        <v>274</v>
      </c>
      <c r="H54" t="s">
        <v>273</v>
      </c>
      <c r="I54" t="s">
        <v>0</v>
      </c>
    </row>
    <row r="55" spans="1:9" x14ac:dyDescent="0.2">
      <c r="A55">
        <v>3811510255</v>
      </c>
      <c r="B55">
        <v>50</v>
      </c>
      <c r="C55" t="s">
        <v>12</v>
      </c>
      <c r="E55" t="s">
        <v>282</v>
      </c>
      <c r="F55" t="s">
        <v>279</v>
      </c>
      <c r="G55" t="s">
        <v>273</v>
      </c>
      <c r="H55" t="s">
        <v>273</v>
      </c>
      <c r="I55" t="s">
        <v>38</v>
      </c>
    </row>
    <row r="56" spans="1:9" x14ac:dyDescent="0.2">
      <c r="A56">
        <v>3907710214</v>
      </c>
      <c r="B56">
        <v>33</v>
      </c>
      <c r="C56" t="s">
        <v>12</v>
      </c>
      <c r="E56" t="s">
        <v>276</v>
      </c>
      <c r="F56" t="s">
        <v>275</v>
      </c>
      <c r="G56" t="s">
        <v>273</v>
      </c>
      <c r="H56" t="s">
        <v>273</v>
      </c>
      <c r="I56" t="s">
        <v>38</v>
      </c>
    </row>
    <row r="57" spans="1:9" x14ac:dyDescent="0.2">
      <c r="A57">
        <v>3965610185</v>
      </c>
      <c r="B57">
        <v>38</v>
      </c>
      <c r="C57" t="s">
        <v>6</v>
      </c>
      <c r="F57" t="s">
        <v>275</v>
      </c>
      <c r="G57" t="s">
        <v>274</v>
      </c>
      <c r="H57" t="s">
        <v>273</v>
      </c>
      <c r="I57" t="s">
        <v>0</v>
      </c>
    </row>
    <row r="58" spans="1:9" x14ac:dyDescent="0.2">
      <c r="A58">
        <v>4056210259</v>
      </c>
      <c r="B58">
        <v>50</v>
      </c>
      <c r="C58" t="s">
        <v>12</v>
      </c>
      <c r="E58" t="s">
        <v>281</v>
      </c>
      <c r="F58" t="s">
        <v>275</v>
      </c>
      <c r="G58" t="s">
        <v>273</v>
      </c>
      <c r="H58" t="s">
        <v>273</v>
      </c>
      <c r="I58" t="s">
        <v>38</v>
      </c>
    </row>
    <row r="59" spans="1:9" x14ac:dyDescent="0.2">
      <c r="A59">
        <v>4133410531</v>
      </c>
      <c r="B59">
        <v>55</v>
      </c>
      <c r="C59" t="s">
        <v>6</v>
      </c>
      <c r="F59" t="s">
        <v>275</v>
      </c>
      <c r="G59" t="s">
        <v>274</v>
      </c>
      <c r="H59" t="s">
        <v>273</v>
      </c>
      <c r="I59" t="s">
        <v>0</v>
      </c>
    </row>
    <row r="60" spans="1:9" x14ac:dyDescent="0.2">
      <c r="A60">
        <v>4253310188</v>
      </c>
      <c r="B60">
        <v>50</v>
      </c>
      <c r="C60" t="s">
        <v>6</v>
      </c>
      <c r="E60" t="s">
        <v>276</v>
      </c>
      <c r="F60" t="s">
        <v>275</v>
      </c>
      <c r="G60" t="s">
        <v>273</v>
      </c>
      <c r="H60" t="s">
        <v>273</v>
      </c>
      <c r="I60" t="s">
        <v>38</v>
      </c>
    </row>
    <row r="61" spans="1:9" x14ac:dyDescent="0.2">
      <c r="A61">
        <v>4467010215</v>
      </c>
      <c r="B61">
        <v>30</v>
      </c>
      <c r="C61" t="s">
        <v>12</v>
      </c>
      <c r="F61" t="s">
        <v>275</v>
      </c>
      <c r="G61" t="s">
        <v>274</v>
      </c>
      <c r="H61" t="s">
        <v>273</v>
      </c>
      <c r="I61" t="s">
        <v>0</v>
      </c>
    </row>
    <row r="62" spans="1:9" x14ac:dyDescent="0.2">
      <c r="A62">
        <v>4655410196</v>
      </c>
      <c r="B62">
        <v>55</v>
      </c>
      <c r="C62" t="s">
        <v>6</v>
      </c>
      <c r="F62" t="s">
        <v>275</v>
      </c>
      <c r="G62" t="s">
        <v>274</v>
      </c>
      <c r="H62" t="s">
        <v>273</v>
      </c>
      <c r="I62" t="s">
        <v>0</v>
      </c>
    </row>
    <row r="63" spans="1:9" x14ac:dyDescent="0.2">
      <c r="A63">
        <v>4734310244</v>
      </c>
      <c r="B63">
        <v>43</v>
      </c>
      <c r="C63" t="s">
        <v>6</v>
      </c>
      <c r="E63" t="s">
        <v>278</v>
      </c>
      <c r="F63" t="s">
        <v>279</v>
      </c>
      <c r="G63" t="s">
        <v>273</v>
      </c>
      <c r="H63" t="s">
        <v>273</v>
      </c>
      <c r="I63" t="s">
        <v>38</v>
      </c>
    </row>
    <row r="64" spans="1:9" x14ac:dyDescent="0.2">
      <c r="A64">
        <v>4821610486</v>
      </c>
      <c r="B64">
        <v>60</v>
      </c>
      <c r="C64" t="s">
        <v>12</v>
      </c>
      <c r="E64" t="s">
        <v>280</v>
      </c>
      <c r="F64" t="s">
        <v>275</v>
      </c>
      <c r="G64" t="s">
        <v>273</v>
      </c>
      <c r="H64" t="s">
        <v>273</v>
      </c>
      <c r="I64" t="s">
        <v>38</v>
      </c>
    </row>
    <row r="65" spans="1:9" x14ac:dyDescent="0.2">
      <c r="A65">
        <v>4966910248</v>
      </c>
      <c r="B65">
        <v>43</v>
      </c>
      <c r="C65" t="s">
        <v>6</v>
      </c>
      <c r="F65" t="s">
        <v>279</v>
      </c>
      <c r="G65" t="s">
        <v>274</v>
      </c>
      <c r="H65" t="s">
        <v>273</v>
      </c>
      <c r="I65" t="s">
        <v>0</v>
      </c>
    </row>
    <row r="66" spans="1:9" x14ac:dyDescent="0.2">
      <c r="A66">
        <v>5092010250</v>
      </c>
      <c r="B66">
        <v>50</v>
      </c>
      <c r="C66" t="s">
        <v>6</v>
      </c>
      <c r="E66" t="s">
        <v>278</v>
      </c>
      <c r="F66" t="s">
        <v>275</v>
      </c>
      <c r="G66" t="s">
        <v>273</v>
      </c>
      <c r="H66" t="s">
        <v>273</v>
      </c>
      <c r="I66" t="s">
        <v>38</v>
      </c>
    </row>
    <row r="67" spans="1:9" x14ac:dyDescent="0.2">
      <c r="A67">
        <v>5122110291</v>
      </c>
      <c r="B67">
        <v>37</v>
      </c>
      <c r="C67" t="s">
        <v>12</v>
      </c>
      <c r="F67" t="s">
        <v>275</v>
      </c>
      <c r="G67" t="s">
        <v>274</v>
      </c>
      <c r="H67" t="s">
        <v>273</v>
      </c>
      <c r="I67" t="s">
        <v>0</v>
      </c>
    </row>
    <row r="68" spans="1:9" x14ac:dyDescent="0.2">
      <c r="A68">
        <v>5205410140</v>
      </c>
      <c r="B68">
        <v>35</v>
      </c>
      <c r="C68" t="s">
        <v>6</v>
      </c>
      <c r="F68" t="s">
        <v>275</v>
      </c>
      <c r="G68" t="s">
        <v>274</v>
      </c>
      <c r="H68" t="s">
        <v>273</v>
      </c>
      <c r="I68" t="s">
        <v>0</v>
      </c>
    </row>
    <row r="69" spans="1:9" x14ac:dyDescent="0.2">
      <c r="A69">
        <v>5371310198</v>
      </c>
      <c r="B69">
        <v>48</v>
      </c>
      <c r="C69" t="s">
        <v>6</v>
      </c>
      <c r="F69" t="s">
        <v>275</v>
      </c>
      <c r="G69" t="s">
        <v>274</v>
      </c>
      <c r="H69" t="s">
        <v>273</v>
      </c>
      <c r="I69" t="s">
        <v>0</v>
      </c>
    </row>
    <row r="70" spans="1:9" x14ac:dyDescent="0.2">
      <c r="A70">
        <v>5543610256</v>
      </c>
      <c r="B70">
        <v>50</v>
      </c>
      <c r="C70" t="s">
        <v>12</v>
      </c>
      <c r="F70" t="s">
        <v>275</v>
      </c>
      <c r="G70" t="s">
        <v>274</v>
      </c>
      <c r="H70" t="s">
        <v>273</v>
      </c>
      <c r="I70" t="s">
        <v>0</v>
      </c>
    </row>
    <row r="71" spans="1:9" x14ac:dyDescent="0.2">
      <c r="A71">
        <v>5729710313</v>
      </c>
      <c r="B71">
        <v>45</v>
      </c>
      <c r="C71" t="s">
        <v>6</v>
      </c>
      <c r="F71" t="s">
        <v>275</v>
      </c>
      <c r="G71" t="s">
        <v>274</v>
      </c>
      <c r="H71" t="s">
        <v>273</v>
      </c>
      <c r="I71" t="s">
        <v>0</v>
      </c>
    </row>
    <row r="72" spans="1:9" x14ac:dyDescent="0.2">
      <c r="A72">
        <v>5897910241</v>
      </c>
      <c r="B72">
        <v>35</v>
      </c>
      <c r="C72" t="s">
        <v>12</v>
      </c>
      <c r="E72" t="s">
        <v>277</v>
      </c>
      <c r="F72" t="s">
        <v>275</v>
      </c>
      <c r="G72" t="s">
        <v>273</v>
      </c>
      <c r="H72" t="s">
        <v>273</v>
      </c>
      <c r="I72" t="s">
        <v>38</v>
      </c>
    </row>
    <row r="73" spans="1:9" x14ac:dyDescent="0.2">
      <c r="A73">
        <v>5971410134</v>
      </c>
      <c r="B73">
        <v>45</v>
      </c>
      <c r="C73" t="s">
        <v>6</v>
      </c>
      <c r="F73" t="s">
        <v>275</v>
      </c>
      <c r="G73" t="s">
        <v>274</v>
      </c>
      <c r="H73" t="s">
        <v>273</v>
      </c>
      <c r="I73" t="s">
        <v>0</v>
      </c>
    </row>
    <row r="74" spans="1:9" x14ac:dyDescent="0.2">
      <c r="A74">
        <v>6092010239</v>
      </c>
      <c r="B74">
        <v>40</v>
      </c>
      <c r="C74" t="s">
        <v>12</v>
      </c>
      <c r="F74" t="s">
        <v>275</v>
      </c>
      <c r="G74" t="s">
        <v>274</v>
      </c>
      <c r="H74" t="s">
        <v>273</v>
      </c>
      <c r="I74" t="s">
        <v>0</v>
      </c>
    </row>
    <row r="75" spans="1:9" x14ac:dyDescent="0.2">
      <c r="A75">
        <v>6265710260</v>
      </c>
      <c r="B75">
        <v>48</v>
      </c>
      <c r="C75" t="s">
        <v>12</v>
      </c>
      <c r="F75" t="s">
        <v>275</v>
      </c>
      <c r="G75" t="s">
        <v>274</v>
      </c>
      <c r="H75" t="s">
        <v>273</v>
      </c>
      <c r="I75" t="s">
        <v>0</v>
      </c>
    </row>
    <row r="76" spans="1:9" x14ac:dyDescent="0.2">
      <c r="A76">
        <v>6393410298</v>
      </c>
      <c r="B76">
        <v>45</v>
      </c>
      <c r="C76" t="s">
        <v>6</v>
      </c>
      <c r="F76" t="s">
        <v>275</v>
      </c>
      <c r="G76" t="s">
        <v>274</v>
      </c>
      <c r="H76" t="s">
        <v>273</v>
      </c>
      <c r="I76" t="s">
        <v>0</v>
      </c>
    </row>
    <row r="77" spans="1:9" x14ac:dyDescent="0.2">
      <c r="A77">
        <v>6554510259</v>
      </c>
      <c r="B77">
        <v>45</v>
      </c>
      <c r="C77" t="s">
        <v>6</v>
      </c>
      <c r="F77" t="s">
        <v>275</v>
      </c>
      <c r="G77" t="s">
        <v>274</v>
      </c>
      <c r="H77" t="s">
        <v>273</v>
      </c>
      <c r="I77" t="s">
        <v>0</v>
      </c>
    </row>
    <row r="78" spans="1:9" x14ac:dyDescent="0.2">
      <c r="A78">
        <v>6744810244</v>
      </c>
      <c r="B78">
        <v>47</v>
      </c>
      <c r="C78" t="s">
        <v>6</v>
      </c>
      <c r="E78" t="s">
        <v>276</v>
      </c>
      <c r="F78" t="s">
        <v>275</v>
      </c>
      <c r="G78" t="s">
        <v>273</v>
      </c>
      <c r="H78" t="s">
        <v>273</v>
      </c>
      <c r="I78" t="s">
        <v>38</v>
      </c>
    </row>
    <row r="79" spans="1:9" x14ac:dyDescent="0.2">
      <c r="A79">
        <v>6940310247</v>
      </c>
      <c r="B79">
        <v>46</v>
      </c>
      <c r="C79" t="s">
        <v>12</v>
      </c>
      <c r="E79" t="s">
        <v>276</v>
      </c>
      <c r="F79" t="s">
        <v>275</v>
      </c>
      <c r="G79" t="s">
        <v>273</v>
      </c>
      <c r="H79" t="s">
        <v>273</v>
      </c>
      <c r="I79" t="s">
        <v>38</v>
      </c>
    </row>
    <row r="80" spans="1:9" x14ac:dyDescent="0.2">
      <c r="A80">
        <v>7111310257</v>
      </c>
      <c r="B80">
        <v>45</v>
      </c>
      <c r="C80" t="s">
        <v>12</v>
      </c>
      <c r="F80" t="s">
        <v>275</v>
      </c>
      <c r="G80" t="s">
        <v>274</v>
      </c>
      <c r="H80" t="s">
        <v>273</v>
      </c>
      <c r="I80" t="s">
        <v>0</v>
      </c>
    </row>
    <row r="81" spans="1:9" x14ac:dyDescent="0.2">
      <c r="A81">
        <v>7227610264</v>
      </c>
      <c r="B81">
        <v>48</v>
      </c>
      <c r="C81" t="s">
        <v>12</v>
      </c>
      <c r="F81" t="s">
        <v>275</v>
      </c>
      <c r="G81" t="s">
        <v>274</v>
      </c>
      <c r="H81" t="s">
        <v>273</v>
      </c>
      <c r="I81" t="s">
        <v>0</v>
      </c>
    </row>
    <row r="82" spans="1:9" x14ac:dyDescent="0.2">
      <c r="A82">
        <v>7401710251</v>
      </c>
      <c r="B82">
        <v>52</v>
      </c>
      <c r="C82" t="s">
        <v>6</v>
      </c>
      <c r="F82" t="s">
        <v>275</v>
      </c>
      <c r="G82" t="s">
        <v>274</v>
      </c>
      <c r="H82" t="s">
        <v>273</v>
      </c>
      <c r="I82" t="s">
        <v>0</v>
      </c>
    </row>
    <row r="83" spans="1:9" x14ac:dyDescent="0.2">
      <c r="A83">
        <v>7514710242</v>
      </c>
      <c r="B83">
        <v>50</v>
      </c>
      <c r="C83" t="s">
        <v>6</v>
      </c>
      <c r="F83" t="s">
        <v>275</v>
      </c>
      <c r="G83" t="s">
        <v>274</v>
      </c>
      <c r="H83" t="s">
        <v>273</v>
      </c>
      <c r="I83" t="s">
        <v>0</v>
      </c>
    </row>
    <row r="84" spans="1:9" x14ac:dyDescent="0.2">
      <c r="A84">
        <v>7637810268</v>
      </c>
      <c r="B84">
        <v>48</v>
      </c>
      <c r="C84" t="s">
        <v>12</v>
      </c>
      <c r="F84" t="s">
        <v>275</v>
      </c>
      <c r="G84" t="s">
        <v>274</v>
      </c>
      <c r="H84" t="s">
        <v>273</v>
      </c>
      <c r="I84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E4EC-43C5-5541-B2F9-D6FAEFAC77C9}">
  <dimension ref="A3:B7"/>
  <sheetViews>
    <sheetView workbookViewId="0">
      <selection activeCell="O19" sqref="O19"/>
    </sheetView>
  </sheetViews>
  <sheetFormatPr baseColWidth="10" defaultRowHeight="16" x14ac:dyDescent="0.2"/>
  <cols>
    <col min="1" max="1" width="13" bestFit="1" customWidth="1"/>
    <col min="2" max="2" width="19.83203125" bestFit="1" customWidth="1"/>
  </cols>
  <sheetData>
    <row r="3" spans="1:2" x14ac:dyDescent="0.2">
      <c r="A3" s="1" t="s">
        <v>321</v>
      </c>
      <c r="B3" t="s">
        <v>326</v>
      </c>
    </row>
    <row r="4" spans="1:2" x14ac:dyDescent="0.2">
      <c r="A4" s="2" t="s">
        <v>38</v>
      </c>
      <c r="B4">
        <v>28</v>
      </c>
    </row>
    <row r="5" spans="1:2" x14ac:dyDescent="0.2">
      <c r="A5" s="2" t="s">
        <v>94</v>
      </c>
      <c r="B5">
        <v>3</v>
      </c>
    </row>
    <row r="6" spans="1:2" x14ac:dyDescent="0.2">
      <c r="A6" s="2" t="s">
        <v>0</v>
      </c>
      <c r="B6">
        <v>52</v>
      </c>
    </row>
    <row r="7" spans="1:2" x14ac:dyDescent="0.2">
      <c r="A7" s="2" t="s">
        <v>322</v>
      </c>
      <c r="B7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1E2A5B-22E0-4A42-AA18-CC130C900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KEEPER LLM Sensitivity All</vt:lpstr>
      <vt:lpstr>All by All</vt:lpstr>
      <vt:lpstr>Clinician-APU</vt:lpstr>
      <vt:lpstr>Clinician-DPA</vt:lpstr>
      <vt:lpstr>Copilot 4o</vt:lpstr>
      <vt:lpstr>Copilot 4o Table</vt:lpstr>
      <vt:lpstr>Copilot 5o</vt:lpstr>
      <vt:lpstr>Copilot 5o Table</vt:lpstr>
      <vt:lpstr>GPT 5o</vt:lpstr>
      <vt:lpstr>GPT 5o Table</vt:lpstr>
      <vt:lpstr>Gemini</vt:lpstr>
      <vt:lpstr>Gemini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Kostka</dc:creator>
  <cp:lastModifiedBy>Kristin Kostka</cp:lastModifiedBy>
  <dcterms:created xsi:type="dcterms:W3CDTF">2025-10-04T20:29:12Z</dcterms:created>
  <dcterms:modified xsi:type="dcterms:W3CDTF">2025-10-15T12:08:05Z</dcterms:modified>
</cp:coreProperties>
</file>